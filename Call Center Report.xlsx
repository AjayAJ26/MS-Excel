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hidePivotFieldList="1"/>
  <mc:AlternateContent xmlns:mc="http://schemas.openxmlformats.org/markup-compatibility/2006">
    <mc:Choice Requires="x15">
      <x15ac:absPath xmlns:x15ac="http://schemas.microsoft.com/office/spreadsheetml/2010/11/ac" url="C:\Ajay File's\Excel Course\Sales\"/>
    </mc:Choice>
  </mc:AlternateContent>
  <xr:revisionPtr revIDLastSave="0" documentId="13_ncr:1_{72BDCA97-BCCD-413F-9CC2-75BA84C23AD3}" xr6:coauthVersionLast="47" xr6:coauthVersionMax="47" xr10:uidLastSave="{00000000-0000-0000-0000-000000000000}"/>
  <bookViews>
    <workbookView xWindow="324" yWindow="384" windowWidth="22716" windowHeight="12576" activeTab="3" xr2:uid="{26D4546B-D2A1-4444-8EAF-A6228F96F0C1}"/>
  </bookViews>
  <sheets>
    <sheet name="Data" sheetId="2" r:id="rId1"/>
    <sheet name="Assets" sheetId="4" r:id="rId2"/>
    <sheet name="Pivots" sheetId="6" r:id="rId3"/>
    <sheet name="Call center report" sheetId="5" r:id="rId4"/>
  </sheets>
  <definedNames>
    <definedName name="_xlnm._FilterDatabase" localSheetId="0" hidden="1">Data!$B$3:$H$1003</definedName>
    <definedName name="_xlcn.WorksheetConnection_sampledataexcelportfolioproject.xlsxcalls" hidden="1">calls[]</definedName>
    <definedName name="_xlcn.WorksheetConnection_sampledataexcelportfolioproject.xlsxcustomers" hidden="1">customers[]</definedName>
    <definedName name="Slicer_Representative">#N/A</definedName>
  </definedNames>
  <calcPr calcId="191029"/>
  <pivotCaches>
    <pivotCache cacheId="535" r:id="rId5"/>
    <pivotCache cacheId="536" r:id="rId6"/>
    <pivotCache cacheId="537" r:id="rId7"/>
    <pivotCache cacheId="538" r:id="rId8"/>
    <pivotCache cacheId="742" r:id="rId9"/>
    <pivotCache cacheId="745" r:id="rId10"/>
    <pivotCache cacheId="748" r:id="rId11"/>
    <pivotCache cacheId="751" r:id="rId12"/>
    <pivotCache cacheId="754" r:id="rId13"/>
  </pivotCaches>
  <extLst>
    <ext xmlns:x14="http://schemas.microsoft.com/office/spreadsheetml/2009/9/main" uri="{876F7934-8845-4945-9796-88D515C7AA90}">
      <x14:pivotCaches>
        <pivotCache cacheId="544"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5" i="6" l="1"/>
  <c r="L28" i="5" s="1"/>
  <c r="G45" i="6"/>
  <c r="C104" i="6" s="1"/>
  <c r="C108" i="6" s="1"/>
  <c r="B113" i="6" s="1"/>
  <c r="L34" i="5" s="1"/>
  <c r="C102" i="6"/>
  <c r="B111" i="6" s="1"/>
  <c r="L32" i="5" s="1"/>
  <c r="O19" i="5" a="1"/>
  <c r="O19" i="5" s="1"/>
  <c r="E48" i="6" a="1"/>
  <c r="E48"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C103" i="6" l="1"/>
  <c r="C107" i="6" s="1"/>
  <c r="B112" i="6" s="1"/>
  <c r="L33" i="5" s="1"/>
  <c r="H50" i="6"/>
  <c r="I50" i="6"/>
  <c r="I49" i="6"/>
  <c r="I51" i="6"/>
  <c r="H48" i="6"/>
  <c r="H52" i="6"/>
  <c r="H51" i="6"/>
  <c r="I48" i="6"/>
  <c r="I52" i="6"/>
  <c r="H4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99D9A8-A768-4E41-A082-9C10549F4A2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E0E3C5-D1D8-41B2-912D-417D5C50BE88}" name="WorksheetConnection_sample-data-excel-portfolio-project.xlsx!calls" type="102" refreshedVersion="7"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xr16:uid="{B1C79A93-2405-460F-84DC-4A74D6BDD243}" name="WorksheetConnection_sample-data-excel-portfolio-project.xlsx!customers" type="102" refreshedVersion="7"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<sst xmlns="http://schemas.openxmlformats.org/spreadsheetml/2006/main" count="3186" uniqueCount="1092">
  <si>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</si>
  <si>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</si>
  <si>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</si>
  <si>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</si>
  <si>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</si>
  <si>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</si>
  <si>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</si>
  <si>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</si>
  <si>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</si>
  <si>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</si>
  <si>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</si>
  <si>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</si>
  <si>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</si>
  <si>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</si>
  <si>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</si>
  <si>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</si>
  <si>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</si>
  <si>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</si>
  <si>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</si>
  <si>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</si>
  <si>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</si>
  <si>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</si>
  <si>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</si>
  <si>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</si>
  <si>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</si>
  <si>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</si>
  <si>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</si>
  <si>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</si>
  <si>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</si>
  <si>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</si>
  <si>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</si>
  <si>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</si>
  <si>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</si>
  <si>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</si>
  <si>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</si>
  <si>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</si>
  <si>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</si>
  <si>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</si>
  <si>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</si>
  <si>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</si>
  <si>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</si>
  <si>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</si>
  <si>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</si>
  <si>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</si>
  <si>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</si>
  <si>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</si>
  <si>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</si>
  <si>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</si>
  <si>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</si>
  <si>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</si>
  <si>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</si>
  <si>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</si>
  <si>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</si>
  <si>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</si>
  <si>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</si>
  <si>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</si>
  <si>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</si>
  <si>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</si>
  <si>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</si>
  <si>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</si>
  <si>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</si>
  <si>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</si>
  <si>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</si>
  <si>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</si>
  <si>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</si>
  <si>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</si>
  <si>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</si>
  <si>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</si>
  <si>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</si>
  <si>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</si>
  <si>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</si>
  <si>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</si>
  <si>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</si>
  <si>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</si>
  <si>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</si>
  <si>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</si>
  <si>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</si>
  <si>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</si>
  <si>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</si>
  <si>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</si>
  <si>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</si>
  <si>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</si>
  <si>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</si>
  <si>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</si>
  <si>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</si>
  <si>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</si>
  <si>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</si>
  <si>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</si>
  <si>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</si>
  <si>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</si>
  <si>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</si>
  <si>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</si>
  <si>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</si>
  <si>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</si>
  <si>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</si>
  <si>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</si>
  <si>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</si>
  <si>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</si>
  <si>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</si>
  <si>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</si>
  <si>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</si>
  <si>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</si>
  <si>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</si>
  <si>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</si>
  <si>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</si>
  <si>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</si>
  <si>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</si>
  <si>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</si>
  <si>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</si>
  <si>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</si>
  <si>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</si>
  <si>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</si>
  <si>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</si>
  <si>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</si>
  <si>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</si>
  <si>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</si>
  <si>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</si>
  <si>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</si>
  <si>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</si>
  <si>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</si>
  <si>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</si>
  <si>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</si>
  <si>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</si>
  <si>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</si>
  <si>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</si>
  <si>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</si>
  <si>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</si>
  <si>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</si>
  <si>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</si>
  <si>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</si>
  <si>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</si>
  <si>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</si>
  <si>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</si>
  <si>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</si>
  <si>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</si>
  <si>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</si>
  <si>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</si>
  <si>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</si>
  <si>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</si>
  <si>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</si>
  <si>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</si>
  <si>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</si>
  <si>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</si>
  <si>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</si>
  <si>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</si>
  <si>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</si>
  <si>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</si>
  <si>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</si>
  <si>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</si>
  <si>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</si>
  <si>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</si>
  <si>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</si>
  <si>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</si>
  <si>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</si>
  <si>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</si>
  <si>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</si>
  <si>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</si>
  <si>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</si>
  <si>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</si>
  <si>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</si>
  <si>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</si>
  <si>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</si>
  <si>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</si>
  <si>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</si>
  <si>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</si>
  <si>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</si>
  <si>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</si>
  <si>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</si>
  <si>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</si>
  <si>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</si>
  <si>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</si>
  <si>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</si>
  <si>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</si>
  <si>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</si>
  <si>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</si>
  <si>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</si>
  <si>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</si>
  <si>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</si>
  <si>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</si>
  <si>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</si>
  <si>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</si>
  <si>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</si>
  <si>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</si>
  <si>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</si>
  <si>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</si>
  <si>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</si>
  <si>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</si>
  <si>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</si>
  <si>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</si>
  <si>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</si>
  <si>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</si>
  <si>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</si>
  <si>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</si>
  <si>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</si>
  <si>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</si>
  <si>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</si>
  <si>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</si>
  <si>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</si>
  <si>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</si>
  <si>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</si>
  <si>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</si>
  <si>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</si>
  <si>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</si>
  <si>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</si>
  <si>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</si>
  <si>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</si>
  <si>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</si>
  <si>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</si>
  <si>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</si>
  <si>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</si>
  <si>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</si>
  <si>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</si>
  <si>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</si>
  <si>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</si>
  <si>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</si>
  <si>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</si>
  <si>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</si>
  <si>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</si>
  <si>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</si>
  <si>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</si>
  <si>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</si>
  <si>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</si>
  <si>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</si>
  <si>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</si>
  <si>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</si>
  <si>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</si>
  <si>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</si>
  <si>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</si>
  <si>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</si>
  <si>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</si>
  <si>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</si>
  <si>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</si>
  <si>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</si>
  <si>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</si>
  <si>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</si>
  <si>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</si>
  <si>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</si>
  <si>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</si>
  <si>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</si>
  <si>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</si>
  <si>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</si>
  <si>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</si>
  <si>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</si>
  <si>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</si>
  <si>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</si>
  <si>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</si>
  <si>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</si>
  <si>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</si>
  <si>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</si>
  <si>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</si>
  <si>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</si>
  <si>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</si>
  <si>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</si>
  <si>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</si>
  <si>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</si>
  <si>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</si>
  <si>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</si>
  <si>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</si>
  <si>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</si>
  <si>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</si>
  <si>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</si>
  <si>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</si>
  <si>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</si>
  <si>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</si>
  <si>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</si>
  <si>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</si>
  <si>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</si>
  <si>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</si>
  <si>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</si>
  <si>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</si>
  <si>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</si>
  <si>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</si>
  <si>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</si>
  <si>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</si>
  <si>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</si>
  <si>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</si>
  <si>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</si>
  <si>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</si>
  <si>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</si>
  <si>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</si>
  <si>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</si>
  <si>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</si>
  <si>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</si>
  <si>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</si>
  <si>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</si>
  <si>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</si>
  <si>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</si>
  <si>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</si>
  <si>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</si>
  <si>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</si>
  <si>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</si>
  <si>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</si>
  <si>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</si>
  <si>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</si>
  <si>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</si>
  <si>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</si>
  <si>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</si>
  <si>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</si>
  <si>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</si>
  <si>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</si>
  <si>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</si>
  <si>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</si>
  <si>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</si>
  <si>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</si>
  <si>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</si>
  <si>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</si>
  <si>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</si>
  <si>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</si>
  <si>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</si>
  <si>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</si>
  <si>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</si>
  <si>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</si>
  <si>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</si>
  <si>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</si>
  <si>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</si>
  <si>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</si>
  <si>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</si>
  <si>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</si>
  <si>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</si>
  <si>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</si>
  <si>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</si>
  <si>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</si>
  <si>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</si>
  <si>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</si>
  <si>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</si>
  <si>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</si>
  <si>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</si>
  <si>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</si>
  <si>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</si>
  <si>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</si>
  <si>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</si>
  <si>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</si>
  <si>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</si>
  <si>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</si>
  <si>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</si>
  <si>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</si>
  <si>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</si>
  <si>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</si>
  <si>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</si>
  <si>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</si>
  <si>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</si>
  <si>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</si>
  <si>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</si>
  <si>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</si>
  <si>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</si>
  <si>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</si>
  <si>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</si>
  <si>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</si>
  <si>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</si>
  <si>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</si>
  <si>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</si>
  <si>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</si>
  <si>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</si>
  <si>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</si>
  <si>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</si>
  <si>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</si>
  <si>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</si>
  <si>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</si>
  <si>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</si>
  <si>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</si>
  <si>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</si>
  <si>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</si>
  <si>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</si>
  <si>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</si>
  <si>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</si>
  <si>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</si>
  <si>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</si>
  <si>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</si>
  <si>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</si>
  <si>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</si>
  <si>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</si>
  <si>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</si>
  <si>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</si>
  <si>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</si>
  <si>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</si>
  <si>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</si>
  <si>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</si>
  <si>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</si>
  <si>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</si>
  <si>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</si>
  <si>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</si>
  <si>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</si>
  <si>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</si>
  <si>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</si>
  <si>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</si>
  <si>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</si>
  <si>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</si>
  <si>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</si>
  <si>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</si>
  <si>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</si>
  <si>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</si>
  <si>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</si>
  <si>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</si>
  <si>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</si>
  <si>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</si>
  <si>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</si>
  <si>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</si>
  <si>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</si>
  <si>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</si>
  <si>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</si>
  <si>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</si>
  <si>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</si>
  <si>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</si>
  <si>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</si>
  <si>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</si>
  <si>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</si>
  <si>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</si>
  <si>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</si>
  <si>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</si>
  <si>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</si>
  <si>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</si>
  <si>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</si>
  <si>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</si>
  <si>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</si>
  <si>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</si>
  <si>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</si>
  <si>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</si>
  <si>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</si>
  <si>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</si>
  <si>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</si>
  <si>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</si>
  <si>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</si>
  <si>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</si>
  <si>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</si>
  <si>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</si>
  <si>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</si>
  <si>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</si>
  <si>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</si>
  <si>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</si>
  <si>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</si>
  <si>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</si>
  <si>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</si>
  <si>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</si>
  <si>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</si>
  <si>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</si>
  <si>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</si>
  <si>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</si>
  <si>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</si>
  <si>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</si>
  <si>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</si>
  <si>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</si>
  <si>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</si>
  <si>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</si>
  <si>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</si>
  <si>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</si>
  <si>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</si>
  <si>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</si>
  <si>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</si>
  <si>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</si>
  <si>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</si>
  <si>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</si>
  <si>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</si>
  <si>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</si>
  <si>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</si>
  <si>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</si>
  <si>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</si>
  <si>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</si>
  <si>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</si>
  <si>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</si>
  <si>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</si>
  <si>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</si>
  <si>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</si>
  <si>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</si>
  <si>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</si>
  <si>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</si>
  <si>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</si>
  <si>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</si>
  <si>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</si>
  <si>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</si>
  <si>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</si>
  <si>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</si>
  <si>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</si>
  <si>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</si>
  <si>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</si>
  <si>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</si>
  <si>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</si>
  <si>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</si>
  <si>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</si>
  <si>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</si>
  <si>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</si>
  <si>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</si>
  <si>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</si>
  <si>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</si>
  <si>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</si>
  <si>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</si>
  <si>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</si>
  <si>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</si>
  <si>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</si>
  <si>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</si>
  <si>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</si>
  <si>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</si>
  <si>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</si>
  <si>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</si>
  <si>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</si>
  <si>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</si>
  <si>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</si>
  <si>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</si>
  <si>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</si>
  <si>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</si>
  <si>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</si>
  <si>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</si>
  <si>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</si>
  <si>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</si>
  <si>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</si>
  <si>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</si>
  <si>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</si>
  <si>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</si>
  <si>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</si>
  <si>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</si>
  <si>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</si>
  <si>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</si>
  <si>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</si>
  <si>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</si>
  <si>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</si>
  <si>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</si>
  <si>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</si>
  <si>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</si>
  <si>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</si>
  <si>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</si>
  <si>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</si>
  <si>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</si>
  <si>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</si>
  <si>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</si>
  <si>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</si>
  <si>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</si>
  <si>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</si>
  <si>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</si>
  <si>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</si>
  <si>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</si>
  <si>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</si>
  <si>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</si>
  <si>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</si>
  <si>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</si>
  <si>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</si>
  <si>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</si>
  <si>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</si>
  <si>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</si>
  <si>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</si>
  <si>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</si>
  <si>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</si>
  <si>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</si>
  <si>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</si>
  <si>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</si>
  <si>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</si>
  <si>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</si>
  <si>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</si>
  <si>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</si>
  <si>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</si>
  <si>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</si>
  <si>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</si>
  <si>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</si>
  <si>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</si>
  <si>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</si>
  <si>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</si>
  <si>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</si>
  <si>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</si>
  <si>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</si>
  <si>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</si>
  <si>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</si>
  <si>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</si>
  <si>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</si>
  <si>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</si>
  <si>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</si>
  <si>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</si>
  <si>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</si>
  <si>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</si>
  <si>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</si>
  <si>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</si>
  <si>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</si>
  <si>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</si>
  <si>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</si>
  <si>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</si>
  <si>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</si>
  <si>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</si>
  <si>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</si>
  <si>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</si>
  <si>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</si>
  <si>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</si>
  <si>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</si>
  <si>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</si>
  <si>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</si>
  <si>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</si>
  <si>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</si>
  <si>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</si>
  <si>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</si>
  <si>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</si>
  <si>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</si>
  <si>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</si>
  <si>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</si>
  <si>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</si>
  <si>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</si>
  <si>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</si>
  <si>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</si>
  <si>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</si>
  <si>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</si>
  <si>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</si>
  <si>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</si>
  <si>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</si>
  <si>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</si>
  <si>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</si>
  <si>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</si>
  <si>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</si>
  <si>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</si>
  <si>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</si>
  <si>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</si>
  <si>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</si>
  <si>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</si>
  <si>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</si>
  <si>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</si>
  <si>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</si>
  <si>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</si>
  <si>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</si>
  <si>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</si>
  <si>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</si>
  <si>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</si>
  <si>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</si>
  <si>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</si>
  <si>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</si>
  <si>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</si>
  <si>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</si>
  <si>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</si>
  <si>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</si>
  <si>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</si>
  <si>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</si>
  <si>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</si>
  <si>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</si>
  <si>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</si>
  <si>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</si>
  <si>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</si>
  <si>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</si>
  <si>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</si>
  <si>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</si>
  <si>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</si>
  <si>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</si>
  <si>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</si>
  <si>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</si>
  <si>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</si>
  <si>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</si>
  <si>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</si>
  <si>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</si>
  <si>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</si>
  <si>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</si>
  <si>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</si>
  <si>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</si>
  <si>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</si>
  <si>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</si>
  <si>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</si>
  <si>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</si>
  <si>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</si>
  <si>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</si>
  <si>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</si>
  <si>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</si>
  <si>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</si>
  <si>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</si>
  <si>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</si>
  <si>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</si>
  <si>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</si>
  <si>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</si>
  <si>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</si>
  <si>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</si>
  <si>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</si>
  <si>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</si>
  <si>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</si>
  <si>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</si>
  <si>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</si>
  <si>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</si>
  <si>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</si>
  <si>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</si>
  <si>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</si>
  <si>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</si>
  <si>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</si>
  <si>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</si>
  <si>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</si>
  <si>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</si>
  <si>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</si>
  <si>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</si>
  <si>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</si>
  <si>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</si>
  <si>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</si>
  <si>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</si>
  <si>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</si>
  <si>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</si>
  <si>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</si>
  <si>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</si>
  <si>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</si>
  <si>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</si>
  <si>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</si>
  <si>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</si>
  <si>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</si>
  <si>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</si>
  <si>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</si>
  <si>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</si>
  <si>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</si>
  <si>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</si>
  <si>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</si>
  <si>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</si>
  <si>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</si>
  <si>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</si>
  <si>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</si>
  <si>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</si>
  <si>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</si>
  <si>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</si>
  <si>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</si>
  <si>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</si>
  <si>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</si>
  <si>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</si>
  <si>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</si>
  <si>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</si>
  <si>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</si>
  <si>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</si>
  <si>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</si>
  <si>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</si>
  <si>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</si>
  <si>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</si>
  <si>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</si>
  <si>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</si>
  <si>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</si>
  <si>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</si>
  <si>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</si>
  <si>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</si>
  <si>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</si>
  <si>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</si>
  <si>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</si>
  <si>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</si>
  <si>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</si>
  <si>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</si>
  <si>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</si>
  <si>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</si>
  <si>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</si>
  <si>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</si>
  <si>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</si>
  <si>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</si>
  <si>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</si>
  <si>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</si>
  <si>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</si>
  <si>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</si>
  <si>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</si>
  <si>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</si>
  <si>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</si>
  <si>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</si>
  <si>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</si>
  <si>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</si>
  <si>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</si>
  <si>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</si>
  <si>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</si>
  <si>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</si>
  <si>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</si>
  <si>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</si>
  <si>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</si>
  <si>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</si>
  <si>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</si>
  <si>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</si>
  <si>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</si>
  <si>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</si>
  <si>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</si>
  <si>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</si>
  <si>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</si>
  <si>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</si>
  <si>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</si>
  <si>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</si>
  <si>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</si>
  <si>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</si>
  <si>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</si>
  <si>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</si>
  <si>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</si>
  <si>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</si>
  <si>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</si>
  <si>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</si>
  <si>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</si>
  <si>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</si>
  <si>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</si>
  <si>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</si>
  <si>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</si>
  <si>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</si>
  <si>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</si>
  <si>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</si>
  <si>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</si>
  <si>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</si>
  <si>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</si>
  <si>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</si>
  <si>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</si>
  <si>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</si>
  <si>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</si>
  <si>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</si>
  <si>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</si>
  <si>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</si>
  <si>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</si>
  <si>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</si>
  <si>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</si>
  <si>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</si>
  <si>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</si>
  <si>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</si>
  <si>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</si>
  <si>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</si>
  <si>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</si>
  <si>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</si>
  <si>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</si>
  <si>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</si>
  <si>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</si>
  <si>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</si>
  <si>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</si>
  <si>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</si>
  <si>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</si>
  <si>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</si>
  <si>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</si>
  <si>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</si>
  <si>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</si>
  <si>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</si>
  <si>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</si>
  <si>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</si>
  <si>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</si>
  <si>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</si>
  <si>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</si>
  <si>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</si>
  <si>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</si>
  <si>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</si>
  <si>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</si>
  <si>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</si>
  <si>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</si>
  <si>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</si>
  <si>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</si>
  <si>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</si>
  <si>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</si>
  <si>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</si>
  <si>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</si>
  <si>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</si>
  <si>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</si>
  <si>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</si>
  <si>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</si>
  <si>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</si>
  <si>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</si>
  <si>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</si>
  <si>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</si>
  <si>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</si>
  <si>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</si>
  <si>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</si>
  <si>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</si>
  <si>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</si>
  <si>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</si>
  <si>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</si>
  <si>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</si>
  <si>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</si>
  <si>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</si>
  <si>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</si>
  <si>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</si>
  <si>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</si>
  <si>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</si>
  <si>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</si>
  <si>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</si>
  <si>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</si>
  <si>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</si>
  <si>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</si>
  <si>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</si>
  <si>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</si>
  <si>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</si>
  <si>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</si>
  <si>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</si>
  <si>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</si>
  <si>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</si>
  <si>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</si>
  <si>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</si>
  <si>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</si>
  <si>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</si>
  <si>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</si>
  <si>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</si>
  <si>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</si>
  <si>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</si>
  <si>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</si>
  <si>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</si>
  <si>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</si>
  <si>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</si>
  <si>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</si>
  <si>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</si>
  <si>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</si>
  <si>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</si>
  <si>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</si>
  <si>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</si>
  <si>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</si>
  <si>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</si>
  <si>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</si>
  <si>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</si>
  <si>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</si>
  <si>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</si>
  <si>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</si>
  <si>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</si>
  <si>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</si>
  <si>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</si>
  <si>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</si>
  <si>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</si>
  <si>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</si>
  <si>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</si>
  <si>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</si>
  <si>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</si>
  <si>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</si>
  <si>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</si>
  <si>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</si>
  <si>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</si>
  <si>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</si>
  <si>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</si>
  <si>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</si>
  <si>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</si>
  <si>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</si>
  <si>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</si>
  <si>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</si>
  <si>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</si>
  <si>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</si>
  <si>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</si>
  <si>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</si>
  <si>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</si>
  <si>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</si>
  <si>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</si>
  <si>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</si>
  <si>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</si>
  <si>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</si>
  <si>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</si>
  <si>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</si>
  <si>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</si>
  <si>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</si>
  <si>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</si>
  <si>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</si>
  <si>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</si>
  <si>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</si>
  <si>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</si>
  <si>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</si>
  <si>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</si>
  <si>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</si>
  <si>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</si>
  <si>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</si>
  <si>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</si>
  <si>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</si>
  <si>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</si>
  <si>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</si>
  <si>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</si>
  <si>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</si>
  <si>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</si>
  <si>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</si>
  <si>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</si>
  <si>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</si>
  <si>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</si>
  <si>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</si>
  <si>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</si>
  <si>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</si>
  <si>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</si>
  <si>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</si>
  <si>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</si>
  <si>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</si>
  <si>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</si>
  <si>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</si>
  <si>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</si>
  <si>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</si>
  <si>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</si>
  <si>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</si>
  <si>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</si>
  <si>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</si>
  <si>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</si>
  <si>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</si>
  <si>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</si>
  <si>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</si>
  <si>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</si>
  <si>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</si>
  <si>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</si>
  <si>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</si>
  <si>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</si>
  <si>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</si>
  <si>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</si>
  <si>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</si>
  <si>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</si>
  <si>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</si>
  <si>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</si>
  <si>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</si>
  <si>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</si>
  <si>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</si>
  <si>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</si>
  <si>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</si>
  <si>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</si>
  <si>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</si>
  <si>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</si>
  <si>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</si>
  <si>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</si>
  <si>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</si>
  <si>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</si>
  <si>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</si>
  <si>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</si>
  <si>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</si>
  <si>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</si>
  <si>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</si>
  <si>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</si>
  <si>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</si>
  <si>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</si>
  <si>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</si>
  <si>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</si>
  <si>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</si>
  <si>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</si>
  <si>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</si>
  <si>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</si>
  <si>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</si>
  <si>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</si>
  <si>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</si>
  <si>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</si>
  <si>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</si>
  <si>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</si>
  <si>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</si>
  <si>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</si>
  <si>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</si>
  <si>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</si>
  <si>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</si>
  <si>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</si>
  <si>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</si>
  <si>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</si>
  <si>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</si>
  <si>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</si>
  <si>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</si>
  <si>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</si>
  <si>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</si>
  <si>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</si>
  <si>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</si>
  <si>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</si>
  <si>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</si>
  <si>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</si>
  <si>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</si>
  <si>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</si>
  <si>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</si>
  <si>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</si>
  <si>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</si>
  <si>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</si>
  <si>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</si>
  <si>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</si>
  <si>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</si>
  <si>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</si>
  <si>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</si>
  <si>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</si>
  <si>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</si>
  <si>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</si>
  <si>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</si>
  <si>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</si>
  <si>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</si>
  <si>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</si>
  <si>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</si>
  <si>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</si>
  <si>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</si>
  <si>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</si>
  <si>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Call Count</t>
  </si>
  <si>
    <t>Total Amount</t>
  </si>
  <si>
    <t>Total Duration</t>
  </si>
  <si>
    <t>Ave Rating</t>
  </si>
  <si>
    <t>5 *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</si>
  <si>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</si>
  <si>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</si>
  <si>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</si>
  <si>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</si>
  <si>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</si>
  <si>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</si>
  <si>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</si>
  <si>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</si>
  <si>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</si>
  <si>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</si>
  <si>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</si>
  <si>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</si>
  <si>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</si>
  <si>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</si>
  <si>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</si>
  <si>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</si>
  <si>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</si>
  <si>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</si>
  <si>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</si>
  <si>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</si>
  <si>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</si>
  <si>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</si>
  <si>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</si>
  <si>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</si>
  <si>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 xml:space="preserve">calls </t>
  </si>
  <si>
    <t>Amount</t>
  </si>
  <si>
    <t>sel amount</t>
  </si>
  <si>
    <t xml:space="preserve">Sel Calls </t>
  </si>
  <si>
    <t>selected rep</t>
  </si>
  <si>
    <t>Column Labels</t>
  </si>
  <si>
    <t>Sum of Purchase Amount</t>
  </si>
  <si>
    <t>Total</t>
  </si>
  <si>
    <t>Rep Summary</t>
  </si>
  <si>
    <t>% of Calls</t>
  </si>
  <si>
    <t>Call rank</t>
  </si>
  <si>
    <t>Amount Rank</t>
  </si>
  <si>
    <t>Call</t>
  </si>
  <si>
    <t xml:space="preserve">Lable </t>
  </si>
  <si>
    <t>Image</t>
  </si>
  <si>
    <t>Call Center Report 2023</t>
  </si>
  <si>
    <t>Rep Image/ Name</t>
  </si>
  <si>
    <t>Aarav Sharma</t>
  </si>
  <si>
    <t>Ishani Deshmukh</t>
  </si>
  <si>
    <t xml:space="preserve"> Rohan Malhotra</t>
  </si>
  <si>
    <t xml:space="preserve"> Ananya Iyer</t>
  </si>
  <si>
    <t xml:space="preserve"> Vikram Choudhary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</si>
</sst>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409]d\-mmm\-yy;@"/>
    <numFmt numFmtId="165" formatCode="\$#,##0;\(\$#,##0\);\$#,##0"/>
    <numFmt numFmtId="166" formatCode="&quot;$&quot;#,###.0,&quot;k&quot;"/>
    <numFmt numFmtId="167" formatCode="&quot;$&quot;#,##0.00"/>
    <numFmt numFmtId="168" formatCode="_(&quot;$&quot;* #,##0.0_);_(&quot;$&quot;* \(#,##0.0\);_(&quot;$&quot;* &quot;-&quot;??_);_(@_)"/>
  </numFmts>
  <fonts count="10">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sz val="12"/>
      <color theme="1"/>
      <name val="Aptos"/>
      <scheme val="minor"/>
    </font>
    <font>
      <sz val="11"/>
      <color theme="1"/>
      <name val="Aptos"/>
      <scheme val="minor"/>
    </font>
    <font>
      <sz val="12"/>
      <color theme="1"/>
      <name val="Aptos"/>
      <scheme val="minor"/>
    </font>
    <font>
      <b/>
      <sz val="26"/>
      <color theme="1"/>
      <name val="Arial Rounded MT Bold"/>
      <family val="2"/>
    </font>
    <font>
      <b/>
      <sz val="18"/>
      <color theme="1"/>
      <name val="MS UI Gothic"/>
      <family val="2"/>
    </font>
  </fonts>
  <fills count="8">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tint="0.79998168889431442"/>
      </patternFill>
    </fill>
    <fill>
      <patternFill patternType="solid">
        <fgColor theme="5" tint="0.39997558519241921"/>
        <bgColor indexed="64"/>
      </patternFill>
    </fill>
    <fill>
      <patternFill patternType="solid">
        <fgColor theme="2"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4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167" fontId="0" fillId="0" borderId="0" xfId="0" applyNumberFormat="1"/>
    <xf numFmtId="0" fontId="5" fillId="4" borderId="0" xfId="0" applyFont="1" applyFill="1" applyBorder="1"/>
    <xf numFmtId="9" fontId="0" fillId="0" borderId="0" xfId="2" applyFont="1"/>
    <xf numFmtId="0" fontId="0" fillId="6" borderId="0" xfId="0" applyFill="1" applyAlignment="1">
      <alignment horizontal="left"/>
    </xf>
    <xf numFmtId="0" fontId="7" fillId="4" borderId="0" xfId="0" applyFont="1" applyFill="1" applyBorder="1"/>
    <xf numFmtId="0" fontId="5" fillId="5" borderId="0" xfId="0" applyFont="1" applyFill="1" applyBorder="1"/>
    <xf numFmtId="0" fontId="7" fillId="4" borderId="0" xfId="0" applyFont="1" applyFill="1" applyBorder="1" applyAlignment="1">
      <alignment horizontal="center" vertical="center"/>
    </xf>
    <xf numFmtId="0" fontId="7" fillId="4" borderId="0" xfId="0" applyFont="1" applyFill="1" applyBorder="1" applyAlignment="1">
      <alignment horizontal="center"/>
    </xf>
    <xf numFmtId="168" fontId="7" fillId="4" borderId="0" xfId="1" applyNumberFormat="1" applyFont="1" applyFill="1" applyBorder="1" applyAlignment="1">
      <alignment horizontal="center" vertical="center"/>
    </xf>
    <xf numFmtId="168" fontId="7" fillId="4" borderId="0" xfId="1" applyNumberFormat="1" applyFont="1" applyFill="1" applyBorder="1"/>
    <xf numFmtId="0" fontId="0" fillId="3" borderId="0" xfId="0" applyFill="1" applyAlignment="1">
      <alignment vertical="center"/>
    </xf>
    <xf numFmtId="0" fontId="6" fillId="3" borderId="0" xfId="0" applyFont="1" applyFill="1" applyAlignment="1">
      <alignment vertical="center"/>
    </xf>
    <xf numFmtId="0" fontId="0" fillId="3" borderId="0" xfId="0" applyFill="1"/>
    <xf numFmtId="0" fontId="6" fillId="3" borderId="0" xfId="0" applyFont="1" applyFill="1" applyAlignment="1">
      <alignment vertical="center"/>
    </xf>
    <xf numFmtId="0" fontId="8" fillId="3" borderId="0" xfId="0" applyFont="1" applyFill="1" applyAlignment="1">
      <alignment horizontal="center" vertical="center"/>
    </xf>
    <xf numFmtId="0" fontId="0" fillId="3" borderId="0" xfId="0" applyFill="1" applyAlignment="1">
      <alignment horizontal="center" vertical="center"/>
    </xf>
    <xf numFmtId="0" fontId="0" fillId="3" borderId="0" xfId="0" applyFill="1"/>
    <xf numFmtId="0" fontId="6" fillId="3" borderId="0" xfId="0" applyFont="1" applyFill="1" applyAlignment="1">
      <alignment vertical="center"/>
    </xf>
    <xf numFmtId="0" fontId="9" fillId="7" borderId="0" xfId="0" applyFont="1" applyFill="1" applyAlignment="1">
      <alignment horizontal="center" vertical="center" wrapText="1"/>
    </xf>
  </cellXfs>
  <cellStyles count="3">
    <cellStyle name="Currency" xfId="1" builtinId="4"/>
    <cellStyle name="Normal" xfId="0" builtinId="0"/>
    <cellStyle name="Percent" xfId="2" builtinId="5"/>
  </cellStyles>
  <dxfs count="33">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0" tint="-0.24994659260841701"/>
        </patternFill>
      </fill>
      <border>
        <left style="thin">
          <color auto="1"/>
        </left>
        <right style="thin">
          <color auto="1"/>
        </right>
        <vertical/>
        <horizontal/>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32"/>
    </tableStyle>
    <tableStyle name="SlicerStyleDark2 2" pivot="0" table="0" count="10" xr9:uid="{89D62804-0519-4345-8DE1-B9259C6D6916}">
      <tableStyleElement type="wholeTable" dxfId="31"/>
      <tableStyleElement type="headerRow" dxfId="3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Report.xlsx]Pivots!monthly trind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Calls</a:t>
            </a:r>
            <a:r>
              <a:rPr lang="en-US" sz="1600" b="1" baseline="0">
                <a:solidFill>
                  <a:srgbClr val="FF0000"/>
                </a:solidFill>
              </a:rPr>
              <a:t> Trend</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2">
                  <a:alpha val="50000"/>
                  <a:lumMod val="100000"/>
                </a:schemeClr>
              </a:gs>
              <a:gs pos="100000">
                <a:srgbClr val="FF000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circle"/>
          <c:size val="7"/>
          <c:spPr>
            <a:solidFill>
              <a:schemeClr val="bg1">
                <a:lumMod val="95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Pivots!$C$19</c:f>
              <c:strCache>
                <c:ptCount val="1"/>
                <c:pt idx="0">
                  <c:v>Call Count2</c:v>
                </c:pt>
              </c:strCache>
            </c:strRef>
          </c:tx>
          <c:spPr>
            <a:gradFill flip="none" rotWithShape="1">
              <a:gsLst>
                <a:gs pos="0">
                  <a:schemeClr val="accent2">
                    <a:alpha val="50000"/>
                    <a:lumMod val="100000"/>
                  </a:schemeClr>
                </a:gs>
                <a:gs pos="100000">
                  <a:srgbClr val="FF0000"/>
                </a:gs>
              </a:gsLst>
              <a:lin ang="16200000" scaled="1"/>
              <a:tileRect/>
            </a:gradFill>
            <a:ln>
              <a:noFill/>
            </a:ln>
            <a:effectLst/>
          </c:spP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Pivots!$C$20:$C$32</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BB43-4EED-BF83-3D9E994D3601}"/>
            </c:ext>
          </c:extLst>
        </c:ser>
        <c:dLbls>
          <c:showLegendKey val="0"/>
          <c:showVal val="0"/>
          <c:showCatName val="0"/>
          <c:showSerName val="0"/>
          <c:showPercent val="0"/>
          <c:showBubbleSize val="0"/>
        </c:dLbls>
        <c:axId val="333944239"/>
        <c:axId val="333943823"/>
      </c:areaChart>
      <c:lineChart>
        <c:grouping val="standard"/>
        <c:varyColors val="0"/>
        <c:ser>
          <c:idx val="0"/>
          <c:order val="0"/>
          <c:tx>
            <c:strRef>
              <c:f>Pivots!$B$19</c:f>
              <c:strCache>
                <c:ptCount val="1"/>
                <c:pt idx="0">
                  <c:v>Call Count</c:v>
                </c:pt>
              </c:strCache>
            </c:strRef>
          </c:tx>
          <c:spPr>
            <a:ln w="28575" cap="rnd">
              <a:solidFill>
                <a:schemeClr val="accent2">
                  <a:lumMod val="75000"/>
                </a:schemeClr>
              </a:solidFill>
              <a:round/>
            </a:ln>
            <a:effectLst/>
          </c:spPr>
          <c:marker>
            <c:symbol val="circle"/>
            <c:size val="7"/>
            <c:spPr>
              <a:solidFill>
                <a:schemeClr val="bg1">
                  <a:lumMod val="95000"/>
                </a:schemeClr>
              </a:solidFill>
              <a:ln w="25400">
                <a:solidFill>
                  <a:schemeClr val="tx1"/>
                </a:solidFill>
              </a:ln>
              <a:effectLst/>
            </c:spPr>
          </c:marke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Pivots!$B$20:$B$32</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BB43-4EED-BF83-3D9E994D3601}"/>
            </c:ext>
          </c:extLst>
        </c:ser>
        <c:dLbls>
          <c:showLegendKey val="0"/>
          <c:showVal val="0"/>
          <c:showCatName val="0"/>
          <c:showSerName val="0"/>
          <c:showPercent val="0"/>
          <c:showBubbleSize val="0"/>
        </c:dLbls>
        <c:marker val="1"/>
        <c:smooth val="0"/>
        <c:axId val="333944239"/>
        <c:axId val="333943823"/>
      </c:lineChart>
      <c:catAx>
        <c:axId val="33394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943823"/>
        <c:crosses val="autoZero"/>
        <c:auto val="1"/>
        <c:lblAlgn val="ctr"/>
        <c:lblOffset val="100"/>
        <c:noMultiLvlLbl val="0"/>
      </c:catAx>
      <c:valAx>
        <c:axId val="333943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94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Report.xlsx]Pivots!week trind</c:name>
    <c:fmtId val="10"/>
  </c:pivotSource>
  <c:chart>
    <c:title>
      <c:tx>
        <c:rich>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r>
              <a:rPr lang="en-US" sz="1600" b="1" i="0" u="none" strike="noStrike" kern="1200" spc="0" baseline="0">
                <a:solidFill>
                  <a:srgbClr val="FF0000"/>
                </a:solidFill>
                <a:latin typeface="+mn-lt"/>
                <a:ea typeface="+mn-ea"/>
                <a:cs typeface="+mn-cs"/>
              </a:rPr>
              <a:t>Weekly triend</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Pivots!$B$36</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Pivots!$A$37:$A$44</c:f>
              <c:strCache>
                <c:ptCount val="7"/>
                <c:pt idx="0">
                  <c:v>Sunday</c:v>
                </c:pt>
                <c:pt idx="1">
                  <c:v>Monday</c:v>
                </c:pt>
                <c:pt idx="2">
                  <c:v>Tuesday</c:v>
                </c:pt>
                <c:pt idx="3">
                  <c:v>Wednesday</c:v>
                </c:pt>
                <c:pt idx="4">
                  <c:v>Thursday</c:v>
                </c:pt>
                <c:pt idx="5">
                  <c:v>Friday</c:v>
                </c:pt>
                <c:pt idx="6">
                  <c:v>Saturday</c:v>
                </c:pt>
              </c:strCache>
            </c:strRef>
          </c:cat>
          <c:val>
            <c:numRef>
              <c:f>Pivots!$B$37:$B$44</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A857-4D37-B69E-436322DAC753}"/>
            </c:ext>
          </c:extLst>
        </c:ser>
        <c:dLbls>
          <c:showLegendKey val="0"/>
          <c:showVal val="0"/>
          <c:showCatName val="0"/>
          <c:showSerName val="0"/>
          <c:showPercent val="0"/>
          <c:showBubbleSize val="0"/>
        </c:dLbls>
        <c:gapWidth val="25"/>
        <c:axId val="382372895"/>
        <c:axId val="382374559"/>
      </c:barChart>
      <c:catAx>
        <c:axId val="382372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74559"/>
        <c:crosses val="autoZero"/>
        <c:auto val="1"/>
        <c:lblAlgn val="ctr"/>
        <c:lblOffset val="100"/>
        <c:noMultiLvlLbl val="0"/>
      </c:catAx>
      <c:valAx>
        <c:axId val="382374559"/>
        <c:scaling>
          <c:orientation val="minMax"/>
        </c:scaling>
        <c:delete val="1"/>
        <c:axPos val="b"/>
        <c:numFmt formatCode="#,##0" sourceLinked="1"/>
        <c:majorTickMark val="out"/>
        <c:minorTickMark val="none"/>
        <c:tickLblPos val="nextTo"/>
        <c:crossAx val="38237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Calls</a:t>
            </a:r>
            <a:endParaRPr lang="en-US" b="1">
              <a:solidFill>
                <a:srgbClr val="FF0000"/>
              </a:solidFill>
            </a:endParaRPr>
          </a:p>
        </c:rich>
      </c:tx>
      <c:layout>
        <c:manualLayout>
          <c:xMode val="edge"/>
          <c:yMode val="edge"/>
          <c:x val="0.33674106134084231"/>
          <c:y val="1.83009719362399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68307521162504"/>
          <c:y val="0.10185185185185185"/>
          <c:w val="0.78005423163164211"/>
          <c:h val="0.89814814814814814"/>
        </c:manualLayout>
      </c:layout>
      <c:barChart>
        <c:barDir val="bar"/>
        <c:grouping val="clustered"/>
        <c:varyColors val="0"/>
        <c:ser>
          <c:idx val="0"/>
          <c:order val="0"/>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Pivots!$E$48:$E$52</c:f>
              <c:strCache>
                <c:ptCount val="5"/>
                <c:pt idx="0">
                  <c:v>R01</c:v>
                </c:pt>
                <c:pt idx="1">
                  <c:v>R02</c:v>
                </c:pt>
                <c:pt idx="2">
                  <c:v>R03</c:v>
                </c:pt>
                <c:pt idx="3">
                  <c:v>R04</c:v>
                </c:pt>
                <c:pt idx="4">
                  <c:v>R05</c:v>
                </c:pt>
              </c:strCache>
            </c:strRef>
          </c:cat>
          <c:val>
            <c:numRef>
              <c:f>Pivots!$F$48:$F$52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1B7-4448-88CE-81A79F89B901}"/>
            </c:ext>
          </c:extLst>
        </c:ser>
        <c:ser>
          <c:idx val="1"/>
          <c:order val="1"/>
          <c:tx>
            <c:v>Values calls</c:v>
          </c:tx>
          <c:spPr>
            <a:gradFill flip="none" rotWithShape="1">
              <a:gsLst>
                <a:gs pos="0">
                  <a:schemeClr val="accent2">
                    <a:lumMod val="60000"/>
                    <a:lumOff val="40000"/>
                  </a:schemeClr>
                </a:gs>
                <a:gs pos="100000">
                  <a:schemeClr val="accent2">
                    <a:lumMod val="75000"/>
                  </a:schemeClr>
                </a:gs>
              </a:gsLst>
              <a:lin ang="0" scaled="1"/>
              <a:tileRect/>
            </a:gradFill>
            <a:ln>
              <a:noFill/>
            </a:ln>
            <a:effectLst/>
          </c:spPr>
          <c:invertIfNegative val="0"/>
          <c:val>
            <c:numRef>
              <c:f>Pivots!$H$48:$H$52</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E1B7-4448-88CE-81A79F89B901}"/>
            </c:ext>
          </c:extLst>
        </c:ser>
        <c:dLbls>
          <c:showLegendKey val="0"/>
          <c:showVal val="0"/>
          <c:showCatName val="0"/>
          <c:showSerName val="0"/>
          <c:showPercent val="0"/>
          <c:showBubbleSize val="0"/>
        </c:dLbls>
        <c:gapWidth val="25"/>
        <c:overlap val="100"/>
        <c:axId val="1245318079"/>
        <c:axId val="1245317247"/>
      </c:barChart>
      <c:catAx>
        <c:axId val="12453180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317247"/>
        <c:crosses val="autoZero"/>
        <c:auto val="1"/>
        <c:lblAlgn val="ctr"/>
        <c:lblOffset val="100"/>
        <c:noMultiLvlLbl val="0"/>
      </c:catAx>
      <c:valAx>
        <c:axId val="1245317247"/>
        <c:scaling>
          <c:orientation val="minMax"/>
          <c:min val="0"/>
        </c:scaling>
        <c:delete val="1"/>
        <c:axPos val="b"/>
        <c:numFmt formatCode="General" sourceLinked="1"/>
        <c:majorTickMark val="out"/>
        <c:minorTickMark val="none"/>
        <c:tickLblPos val="nextTo"/>
        <c:crossAx val="124531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rgbClr val="FF0000"/>
                </a:solidFill>
                <a:latin typeface="+mn-lt"/>
                <a:ea typeface="+mn-ea"/>
                <a:cs typeface="+mn-cs"/>
              </a:defRPr>
            </a:pPr>
            <a:r>
              <a:rPr lang="en-US" sz="1600" b="1" i="0" u="none" strike="noStrike" kern="1200" spc="0" baseline="0">
                <a:solidFill>
                  <a:srgbClr val="FF0000"/>
                </a:solidFill>
                <a:latin typeface="+mn-lt"/>
                <a:ea typeface="+mn-ea"/>
                <a:cs typeface="+mn-cs"/>
              </a:rPr>
              <a:t>Amount</a:t>
            </a:r>
          </a:p>
        </c:rich>
      </c:tx>
      <c:layout>
        <c:manualLayout>
          <c:xMode val="edge"/>
          <c:yMode val="edge"/>
          <c:x val="0.26800913774667057"/>
          <c:y val="1.3236147815462392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rgbClr val="FF0000"/>
              </a:solidFill>
              <a:latin typeface="+mn-lt"/>
              <a:ea typeface="+mn-ea"/>
              <a:cs typeface="+mn-cs"/>
            </a:defRPr>
          </a:pPr>
          <a:endParaRPr lang="en-US"/>
        </a:p>
      </c:txPr>
    </c:title>
    <c:autoTitleDeleted val="0"/>
    <c:plotArea>
      <c:layout>
        <c:manualLayout>
          <c:layoutTarget val="inner"/>
          <c:xMode val="edge"/>
          <c:yMode val="edge"/>
          <c:x val="8.0246913580246909E-2"/>
          <c:y val="9.7065083980057532E-2"/>
          <c:w val="0.86419753086419748"/>
          <c:h val="0.90293491601994247"/>
        </c:manualLayout>
      </c:layout>
      <c:barChart>
        <c:barDir val="bar"/>
        <c:grouping val="clustered"/>
        <c:varyColors val="0"/>
        <c:ser>
          <c:idx val="0"/>
          <c:order val="0"/>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Pivots!$E$48:$E$52</c:f>
              <c:strCache>
                <c:ptCount val="5"/>
                <c:pt idx="0">
                  <c:v>R01</c:v>
                </c:pt>
                <c:pt idx="1">
                  <c:v>R02</c:v>
                </c:pt>
                <c:pt idx="2">
                  <c:v>R03</c:v>
                </c:pt>
                <c:pt idx="3">
                  <c:v>R04</c:v>
                </c:pt>
                <c:pt idx="4">
                  <c:v>R05</c:v>
                </c:pt>
              </c:strCache>
            </c:strRef>
          </c:cat>
          <c:val>
            <c:numRef>
              <c:f>Pivots!$G$48:$G$52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73E-401D-B37D-105384217976}"/>
            </c:ext>
          </c:extLst>
        </c:ser>
        <c:ser>
          <c:idx val="1"/>
          <c:order val="1"/>
          <c:tx>
            <c:v>Values calls</c:v>
          </c:tx>
          <c:spPr>
            <a:solidFill>
              <a:schemeClr val="accent2"/>
            </a:solidFill>
            <a:ln>
              <a:noFill/>
            </a:ln>
            <a:effectLst/>
          </c:spPr>
          <c:invertIfNegative val="0"/>
          <c:dPt>
            <c:idx val="2"/>
            <c:invertIfNegative val="0"/>
            <c:bubble3D val="0"/>
            <c:spPr>
              <a:gradFill flip="none" rotWithShape="1">
                <a:gsLst>
                  <a:gs pos="0">
                    <a:schemeClr val="accent2">
                      <a:lumMod val="60000"/>
                      <a:lumOff val="40000"/>
                    </a:schemeClr>
                  </a:gs>
                  <a:gs pos="100000">
                    <a:schemeClr val="accent2">
                      <a:lumMod val="75000"/>
                    </a:schemeClr>
                  </a:gs>
                </a:gsLst>
                <a:lin ang="0" scaled="1"/>
                <a:tileRect/>
              </a:gradFill>
              <a:ln>
                <a:noFill/>
              </a:ln>
              <a:effectLst/>
            </c:spPr>
            <c:extLst>
              <c:ext xmlns:c16="http://schemas.microsoft.com/office/drawing/2014/chart" uri="{C3380CC4-5D6E-409C-BE32-E72D297353CC}">
                <c16:uniqueId val="{00000002-473E-401D-B37D-105384217976}"/>
              </c:ext>
            </c:extLst>
          </c:dPt>
          <c:val>
            <c:numRef>
              <c:f>Pivots!$H$48:$H$52</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3-473E-401D-B37D-105384217976}"/>
            </c:ext>
          </c:extLst>
        </c:ser>
        <c:ser>
          <c:idx val="2"/>
          <c:order val="2"/>
          <c:tx>
            <c:strRef>
              <c:f>Pivots!$I$47</c:f>
              <c:strCache>
                <c:ptCount val="1"/>
                <c:pt idx="0">
                  <c:v>sel amount</c:v>
                </c:pt>
              </c:strCache>
            </c:strRef>
          </c:tx>
          <c:spPr>
            <a:gradFill flip="none" rotWithShape="1">
              <a:gsLst>
                <a:gs pos="0">
                  <a:schemeClr val="accent2">
                    <a:lumMod val="60000"/>
                    <a:lumOff val="40000"/>
                  </a:schemeClr>
                </a:gs>
                <a:gs pos="100000">
                  <a:schemeClr val="accent2">
                    <a:lumMod val="75000"/>
                  </a:schemeClr>
                </a:gs>
              </a:gsLst>
              <a:lin ang="0" scaled="1"/>
              <a:tileRect/>
            </a:gradFill>
            <a:ln>
              <a:noFill/>
            </a:ln>
            <a:effectLst/>
          </c:spPr>
          <c:invertIfNegative val="0"/>
          <c:val>
            <c:numRef>
              <c:f>Pivots!$I$48:$I$52</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4-473E-401D-B37D-105384217976}"/>
            </c:ext>
          </c:extLst>
        </c:ser>
        <c:dLbls>
          <c:showLegendKey val="0"/>
          <c:showVal val="0"/>
          <c:showCatName val="0"/>
          <c:showSerName val="0"/>
          <c:showPercent val="0"/>
          <c:showBubbleSize val="0"/>
        </c:dLbls>
        <c:gapWidth val="25"/>
        <c:overlap val="100"/>
        <c:axId val="1245318079"/>
        <c:axId val="1245317247"/>
      </c:barChart>
      <c:catAx>
        <c:axId val="1245318079"/>
        <c:scaling>
          <c:orientation val="minMax"/>
        </c:scaling>
        <c:delete val="1"/>
        <c:axPos val="l"/>
        <c:numFmt formatCode="General" sourceLinked="1"/>
        <c:majorTickMark val="out"/>
        <c:minorTickMark val="none"/>
        <c:tickLblPos val="nextTo"/>
        <c:crossAx val="1245317247"/>
        <c:crosses val="autoZero"/>
        <c:auto val="1"/>
        <c:lblAlgn val="ctr"/>
        <c:lblOffset val="100"/>
        <c:noMultiLvlLbl val="0"/>
      </c:catAx>
      <c:valAx>
        <c:axId val="1245317247"/>
        <c:scaling>
          <c:orientation val="minMax"/>
          <c:min val="0"/>
        </c:scaling>
        <c:delete val="1"/>
        <c:axPos val="b"/>
        <c:numFmt formatCode="&quot;$&quot;#,###.0,&quot;k&quot;" sourceLinked="1"/>
        <c:majorTickMark val="out"/>
        <c:minorTickMark val="none"/>
        <c:tickLblPos val="nextTo"/>
        <c:crossAx val="124531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Report.xlsx]Pivots!PivotTable8</c:name>
    <c:fmtId val="3"/>
  </c:pivotSource>
  <c:chart>
    <c:title>
      <c:tx>
        <c:rich>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r>
              <a:rPr lang="en-US" sz="1600" b="1" i="0" u="none" strike="noStrike" kern="1200" spc="0" baseline="0">
                <a:solidFill>
                  <a:schemeClr val="accent4">
                    <a:lumMod val="75000"/>
                  </a:schemeClr>
                </a:solidFill>
                <a:latin typeface="+mn-lt"/>
                <a:ea typeface="+mn-ea"/>
                <a:cs typeface="+mn-cs"/>
              </a:rPr>
              <a:t>Female</a:t>
            </a:r>
            <a:r>
              <a:rPr lang="en-US" sz="1600" b="1" i="0" u="none" strike="noStrike" kern="1200" spc="0" baseline="0">
                <a:solidFill>
                  <a:srgbClr val="FF0000"/>
                </a:solidFill>
                <a:latin typeface="+mn-lt"/>
                <a:ea typeface="+mn-ea"/>
                <a:cs typeface="+mn-cs"/>
              </a:rPr>
              <a:t> </a:t>
            </a:r>
            <a:r>
              <a:rPr lang="en-US" sz="1600" b="1" i="0" u="none" strike="noStrike" kern="1200" spc="0" baseline="0">
                <a:solidFill>
                  <a:schemeClr val="tx1"/>
                </a:solidFill>
                <a:latin typeface="+mn-lt"/>
                <a:ea typeface="+mn-ea"/>
                <a:cs typeface="+mn-cs"/>
              </a:rPr>
              <a:t>vs</a:t>
            </a:r>
            <a:r>
              <a:rPr lang="en-US" sz="1600" b="1" i="0" u="none" strike="noStrike" kern="1200" spc="0" baseline="0">
                <a:solidFill>
                  <a:srgbClr val="FF0000"/>
                </a:solidFill>
                <a:latin typeface="+mn-lt"/>
                <a:ea typeface="+mn-ea"/>
                <a:cs typeface="+mn-cs"/>
              </a:rPr>
              <a:t> </a:t>
            </a:r>
            <a:r>
              <a:rPr lang="en-US" sz="1600" b="1" i="0" u="none" strike="noStrike" kern="1200" spc="0" baseline="0">
                <a:solidFill>
                  <a:schemeClr val="bg2">
                    <a:lumMod val="90000"/>
                  </a:schemeClr>
                </a:solidFill>
                <a:latin typeface="+mn-lt"/>
                <a:ea typeface="+mn-ea"/>
                <a:cs typeface="+mn-cs"/>
              </a:rPr>
              <a:t>Male</a:t>
            </a:r>
            <a:r>
              <a:rPr lang="en-US" sz="1600" b="1" i="0" u="none" strike="noStrike" kern="1200" spc="0" baseline="0">
                <a:solidFill>
                  <a:srgbClr val="FF0000"/>
                </a:solidFill>
                <a:latin typeface="+mn-lt"/>
                <a:ea typeface="+mn-ea"/>
                <a:cs typeface="+mn-cs"/>
              </a:rPr>
              <a:t> </a:t>
            </a:r>
            <a:r>
              <a:rPr lang="en-US" sz="1600" b="1" i="0" u="none" strike="noStrike" kern="1200" spc="0" baseline="0">
                <a:solidFill>
                  <a:schemeClr val="tx1"/>
                </a:solidFill>
                <a:latin typeface="+mn-lt"/>
                <a:ea typeface="+mn-ea"/>
                <a:cs typeface="+mn-cs"/>
              </a:rPr>
              <a:t>callers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solidFill>
              <a:schemeClr val="bg2">
                <a:lumMod val="9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bg2">
              <a:lumMod val="90000"/>
            </a:schemeClr>
          </a:solidFill>
          <a:ln>
            <a:noFill/>
          </a:ln>
          <a:effectLst/>
        </c:spPr>
        <c:marker>
          <c:symbol val="none"/>
        </c:marker>
        <c:dLbl>
          <c:idx val="0"/>
          <c:spPr>
            <a:solidFill>
              <a:schemeClr val="bg1">
                <a:lumMod val="95000"/>
                <a:alpha val="50000"/>
              </a:schemeClr>
            </a:solidFill>
            <a:ln>
              <a:solidFill>
                <a:schemeClr val="accent1">
                  <a:shade val="50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Pivots!$B$60:$B$61</c:f>
              <c:strCache>
                <c:ptCount val="1"/>
                <c:pt idx="0">
                  <c:v>Female</c:v>
                </c:pt>
              </c:strCache>
            </c:strRef>
          </c:tx>
          <c:spPr>
            <a:solidFill>
              <a:schemeClr val="accent4">
                <a:lumMod val="75000"/>
              </a:schemeClr>
            </a:solidFill>
            <a:ln>
              <a:noFill/>
            </a:ln>
            <a:effectLst/>
          </c:spPr>
          <c:invertIfNegative val="0"/>
          <c:dLbls>
            <c:spPr>
              <a:solidFill>
                <a:schemeClr val="bg2">
                  <a:lumMod val="9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Pivots!$B$62:$B$65</c:f>
              <c:numCache>
                <c:formatCode>#,##0</c:formatCode>
                <c:ptCount val="3"/>
                <c:pt idx="0">
                  <c:v>144</c:v>
                </c:pt>
                <c:pt idx="1">
                  <c:v>326</c:v>
                </c:pt>
                <c:pt idx="2">
                  <c:v>129</c:v>
                </c:pt>
              </c:numCache>
            </c:numRef>
          </c:val>
          <c:extLst>
            <c:ext xmlns:c16="http://schemas.microsoft.com/office/drawing/2014/chart" uri="{C3380CC4-5D6E-409C-BE32-E72D297353CC}">
              <c16:uniqueId val="{00000000-637C-4EF8-9427-2E2C5B0F1972}"/>
            </c:ext>
          </c:extLst>
        </c:ser>
        <c:ser>
          <c:idx val="1"/>
          <c:order val="1"/>
          <c:tx>
            <c:strRef>
              <c:f>Pivots!$C$60:$C$61</c:f>
              <c:strCache>
                <c:ptCount val="1"/>
                <c:pt idx="0">
                  <c:v>Male</c:v>
                </c:pt>
              </c:strCache>
            </c:strRef>
          </c:tx>
          <c:spPr>
            <a:solidFill>
              <a:schemeClr val="bg2">
                <a:lumMod val="90000"/>
              </a:schemeClr>
            </a:solidFill>
            <a:ln>
              <a:noFill/>
            </a:ln>
            <a:effectLst/>
          </c:spPr>
          <c:invertIfNegative val="0"/>
          <c:dLbls>
            <c:spPr>
              <a:solidFill>
                <a:schemeClr val="bg1">
                  <a:lumMod val="95000"/>
                  <a:alpha val="50000"/>
                </a:schemeClr>
              </a:solidFill>
              <a:ln>
                <a:solidFill>
                  <a:schemeClr val="accent1">
                    <a:shade val="50000"/>
                    <a:alpha val="5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Pivots!$C$62:$C$65</c:f>
              <c:numCache>
                <c:formatCode>#,##0</c:formatCode>
                <c:ptCount val="3"/>
                <c:pt idx="0">
                  <c:v>132</c:v>
                </c:pt>
                <c:pt idx="1">
                  <c:v>63</c:v>
                </c:pt>
                <c:pt idx="2">
                  <c:v>206</c:v>
                </c:pt>
              </c:numCache>
            </c:numRef>
          </c:val>
          <c:extLst>
            <c:ext xmlns:c16="http://schemas.microsoft.com/office/drawing/2014/chart" uri="{C3380CC4-5D6E-409C-BE32-E72D297353CC}">
              <c16:uniqueId val="{00000001-637C-4EF8-9427-2E2C5B0F1972}"/>
            </c:ext>
          </c:extLst>
        </c:ser>
        <c:dLbls>
          <c:dLblPos val="ctr"/>
          <c:showLegendKey val="0"/>
          <c:showVal val="1"/>
          <c:showCatName val="0"/>
          <c:showSerName val="0"/>
          <c:showPercent val="0"/>
          <c:showBubbleSize val="0"/>
        </c:dLbls>
        <c:gapWidth val="25"/>
        <c:overlap val="100"/>
        <c:axId val="532398511"/>
        <c:axId val="532399343"/>
      </c:barChart>
      <c:catAx>
        <c:axId val="53239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99343"/>
        <c:crosses val="autoZero"/>
        <c:auto val="1"/>
        <c:lblAlgn val="ctr"/>
        <c:lblOffset val="100"/>
        <c:noMultiLvlLbl val="0"/>
      </c:catAx>
      <c:valAx>
        <c:axId val="532399343"/>
        <c:scaling>
          <c:orientation val="minMax"/>
        </c:scaling>
        <c:delete val="1"/>
        <c:axPos val="l"/>
        <c:numFmt formatCode="0%" sourceLinked="1"/>
        <c:majorTickMark val="none"/>
        <c:minorTickMark val="none"/>
        <c:tickLblPos val="nextTo"/>
        <c:crossAx val="532398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Report.xlsx]Pivots!Rep satisfaction</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Rating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Pivots!$B$69</c:f>
              <c:strCache>
                <c:ptCount val="1"/>
                <c:pt idx="0">
                  <c:v>Total</c:v>
                </c:pt>
              </c:strCache>
            </c:strRef>
          </c:tx>
          <c:spPr>
            <a:solidFill>
              <a:schemeClr val="accent1"/>
            </a:solidFill>
            <a:ln>
              <a:noFill/>
            </a:ln>
            <a:effectLst/>
          </c:spPr>
          <c:invertIfNegative val="0"/>
          <c:cat>
            <c:strRef>
              <c:f>Pivots!$A$70:$A$76</c:f>
              <c:strCache>
                <c:ptCount val="6"/>
                <c:pt idx="0">
                  <c:v>0</c:v>
                </c:pt>
                <c:pt idx="1">
                  <c:v>1</c:v>
                </c:pt>
                <c:pt idx="2">
                  <c:v>2</c:v>
                </c:pt>
                <c:pt idx="3">
                  <c:v>3</c:v>
                </c:pt>
                <c:pt idx="4">
                  <c:v>4</c:v>
                </c:pt>
                <c:pt idx="5">
                  <c:v>5</c:v>
                </c:pt>
              </c:strCache>
            </c:strRef>
          </c:cat>
          <c:val>
            <c:numRef>
              <c:f>Pivots!$B$70:$B$76</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10AD-49F8-8B74-EB20EB3ECCC5}"/>
            </c:ext>
          </c:extLst>
        </c:ser>
        <c:dLbls>
          <c:showLegendKey val="0"/>
          <c:showVal val="0"/>
          <c:showCatName val="0"/>
          <c:showSerName val="0"/>
          <c:showPercent val="0"/>
          <c:showBubbleSize val="0"/>
        </c:dLbls>
        <c:gapWidth val="25"/>
        <c:overlap val="-27"/>
        <c:axId val="522667135"/>
        <c:axId val="522668799"/>
      </c:barChart>
      <c:catAx>
        <c:axId val="52266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668799"/>
        <c:crosses val="autoZero"/>
        <c:auto val="1"/>
        <c:lblAlgn val="ctr"/>
        <c:lblOffset val="100"/>
        <c:noMultiLvlLbl val="0"/>
      </c:catAx>
      <c:valAx>
        <c:axId val="522668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667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15.png"/><Relationship Id="rId7" Type="http://schemas.openxmlformats.org/officeDocument/2006/relationships/chart" Target="../charts/chart3.xml"/><Relationship Id="rId12" Type="http://schemas.openxmlformats.org/officeDocument/2006/relationships/image" Target="../media/image6.svg"/><Relationship Id="rId2" Type="http://schemas.openxmlformats.org/officeDocument/2006/relationships/image" Target="../media/image14.svg"/><Relationship Id="rId1" Type="http://schemas.openxmlformats.org/officeDocument/2006/relationships/image" Target="../media/image13.png"/><Relationship Id="rId6" Type="http://schemas.openxmlformats.org/officeDocument/2006/relationships/chart" Target="../charts/chart2.xml"/><Relationship Id="rId11" Type="http://schemas.openxmlformats.org/officeDocument/2006/relationships/image" Target="../media/image16.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148838</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0</xdr:col>
      <xdr:colOff>668406</xdr:colOff>
      <xdr:row>16</xdr:row>
      <xdr:rowOff>139401</xdr:rowOff>
    </xdr:from>
    <xdr:to>
      <xdr:col>1</xdr:col>
      <xdr:colOff>410651</xdr:colOff>
      <xdr:row>18</xdr:row>
      <xdr:rowOff>169880</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68406" y="3624723"/>
          <a:ext cx="411480" cy="3750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5931</xdr:colOff>
      <xdr:row>17</xdr:row>
      <xdr:rowOff>15236</xdr:rowOff>
    </xdr:from>
    <xdr:to>
      <xdr:col>10</xdr:col>
      <xdr:colOff>381001</xdr:colOff>
      <xdr:row>34</xdr:row>
      <xdr:rowOff>121069</xdr:rowOff>
    </xdr:to>
    <xdr:sp macro="" textlink="">
      <xdr:nvSpPr>
        <xdr:cNvPr id="3" name="Rectangle 2">
          <a:extLst>
            <a:ext uri="{FF2B5EF4-FFF2-40B4-BE49-F238E27FC236}">
              <a16:creationId xmlns:a16="http://schemas.microsoft.com/office/drawing/2014/main" id="{9DB0483F-D2E2-4B64-BEB2-273516531E65}"/>
            </a:ext>
          </a:extLst>
        </xdr:cNvPr>
        <xdr:cNvSpPr/>
      </xdr:nvSpPr>
      <xdr:spPr>
        <a:xfrm>
          <a:off x="1758531" y="3291836"/>
          <a:ext cx="4388270" cy="3382433"/>
        </a:xfrm>
        <a:prstGeom prst="rect">
          <a:avLst/>
        </a:prstGeom>
        <a:solidFill>
          <a:schemeClr val="bg1"/>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205740</xdr:colOff>
      <xdr:row>1</xdr:row>
      <xdr:rowOff>22860</xdr:rowOff>
    </xdr:from>
    <xdr:to>
      <xdr:col>3</xdr:col>
      <xdr:colOff>510540</xdr:colOff>
      <xdr:row>4</xdr:row>
      <xdr:rowOff>144780</xdr:rowOff>
    </xdr:to>
    <xdr:sp macro="" textlink="Pivots!A4">
      <xdr:nvSpPr>
        <xdr:cNvPr id="40" name="Rectangle 39">
          <a:extLst>
            <a:ext uri="{FF2B5EF4-FFF2-40B4-BE49-F238E27FC236}">
              <a16:creationId xmlns:a16="http://schemas.microsoft.com/office/drawing/2014/main" id="{B291D3E0-FEED-4E2D-B980-EDCAD2FEBB36}"/>
            </a:ext>
          </a:extLst>
        </xdr:cNvPr>
        <xdr:cNvSpPr/>
      </xdr:nvSpPr>
      <xdr:spPr>
        <a:xfrm>
          <a:off x="411480" y="373380"/>
          <a:ext cx="1188720" cy="647700"/>
        </a:xfrm>
        <a:prstGeom prst="rect">
          <a:avLst/>
        </a:prstGeom>
        <a:solidFill>
          <a:srgbClr val="FF0000"/>
        </a:solidFill>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AA04E3F-F6DC-456C-8588-62A729A02686}" type="TxLink">
            <a:rPr lang="en-US" sz="2000" b="1" i="0" u="none" strike="noStrike">
              <a:solidFill>
                <a:schemeClr val="bg1"/>
              </a:solidFill>
              <a:latin typeface="+mj-lt"/>
            </a:rPr>
            <a:pPr algn="ctr"/>
            <a:t>1,000</a:t>
          </a:fld>
          <a:endParaRPr lang="en-US" sz="2000" b="1">
            <a:solidFill>
              <a:schemeClr val="bg1"/>
            </a:solidFill>
            <a:latin typeface="+mj-lt"/>
          </a:endParaRPr>
        </a:p>
      </xdr:txBody>
    </xdr:sp>
    <xdr:clientData/>
  </xdr:twoCellAnchor>
  <xdr:twoCellAnchor>
    <xdr:from>
      <xdr:col>2</xdr:col>
      <xdr:colOff>213360</xdr:colOff>
      <xdr:row>1</xdr:row>
      <xdr:rowOff>45720</xdr:rowOff>
    </xdr:from>
    <xdr:to>
      <xdr:col>3</xdr:col>
      <xdr:colOff>228600</xdr:colOff>
      <xdr:row>2</xdr:row>
      <xdr:rowOff>68580</xdr:rowOff>
    </xdr:to>
    <xdr:sp macro="" textlink="">
      <xdr:nvSpPr>
        <xdr:cNvPr id="41" name="TextBox 40">
          <a:extLst>
            <a:ext uri="{FF2B5EF4-FFF2-40B4-BE49-F238E27FC236}">
              <a16:creationId xmlns:a16="http://schemas.microsoft.com/office/drawing/2014/main" id="{9ECE171B-9C57-44E9-939D-31EC17EEC1C2}"/>
            </a:ext>
          </a:extLst>
        </xdr:cNvPr>
        <xdr:cNvSpPr txBox="1"/>
      </xdr:nvSpPr>
      <xdr:spPr>
        <a:xfrm>
          <a:off x="632460" y="396240"/>
          <a:ext cx="6858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95000"/>
                </a:schemeClr>
              </a:solidFill>
              <a:latin typeface="+mj-lt"/>
            </a:rPr>
            <a:t>Calls</a:t>
          </a:r>
          <a:endParaRPr lang="en-US" sz="1100" b="1">
            <a:solidFill>
              <a:schemeClr val="bg1">
                <a:lumMod val="95000"/>
              </a:schemeClr>
            </a:solidFill>
            <a:latin typeface="+mj-lt"/>
          </a:endParaRPr>
        </a:p>
      </xdr:txBody>
    </xdr:sp>
    <xdr:clientData/>
  </xdr:twoCellAnchor>
  <xdr:twoCellAnchor editAs="oneCell">
    <xdr:from>
      <xdr:col>2</xdr:col>
      <xdr:colOff>60962</xdr:colOff>
      <xdr:row>1</xdr:row>
      <xdr:rowOff>91442</xdr:rowOff>
    </xdr:from>
    <xdr:to>
      <xdr:col>2</xdr:col>
      <xdr:colOff>244970</xdr:colOff>
      <xdr:row>2</xdr:row>
      <xdr:rowOff>83820</xdr:rowOff>
    </xdr:to>
    <xdr:pic>
      <xdr:nvPicPr>
        <xdr:cNvPr id="42" name="Graphic 41" descr="Receiver with solid fill">
          <a:extLst>
            <a:ext uri="{FF2B5EF4-FFF2-40B4-BE49-F238E27FC236}">
              <a16:creationId xmlns:a16="http://schemas.microsoft.com/office/drawing/2014/main" id="{2212976A-D51D-49B4-A9C3-EE77FD03E4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0062" y="441962"/>
          <a:ext cx="184008" cy="167638"/>
        </a:xfrm>
        <a:prstGeom prst="rect">
          <a:avLst/>
        </a:prstGeom>
      </xdr:spPr>
    </xdr:pic>
    <xdr:clientData/>
  </xdr:twoCellAnchor>
  <xdr:twoCellAnchor>
    <xdr:from>
      <xdr:col>2</xdr:col>
      <xdr:colOff>297180</xdr:colOff>
      <xdr:row>3</xdr:row>
      <xdr:rowOff>129540</xdr:rowOff>
    </xdr:from>
    <xdr:to>
      <xdr:col>3</xdr:col>
      <xdr:colOff>236220</xdr:colOff>
      <xdr:row>4</xdr:row>
      <xdr:rowOff>121920</xdr:rowOff>
    </xdr:to>
    <xdr:sp macro="" textlink="Pivots!A8">
      <xdr:nvSpPr>
        <xdr:cNvPr id="43" name="TextBox 42">
          <a:extLst>
            <a:ext uri="{FF2B5EF4-FFF2-40B4-BE49-F238E27FC236}">
              <a16:creationId xmlns:a16="http://schemas.microsoft.com/office/drawing/2014/main" id="{C9AE580B-466A-4D85-9FAE-6525606048A0}"/>
            </a:ext>
          </a:extLst>
        </xdr:cNvPr>
        <xdr:cNvSpPr txBox="1"/>
      </xdr:nvSpPr>
      <xdr:spPr>
        <a:xfrm>
          <a:off x="716280" y="830580"/>
          <a:ext cx="6096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C2EBD1-D6B1-40C8-8E69-5940CED95CAE}" type="TxLink">
            <a:rPr lang="en-US" sz="1100" b="0" i="0" u="none" strike="noStrike">
              <a:solidFill>
                <a:schemeClr val="bg1">
                  <a:lumMod val="95000"/>
                </a:schemeClr>
              </a:solidFill>
              <a:latin typeface="Aptos"/>
            </a:rPr>
            <a:pPr algn="ctr"/>
            <a:t>1,000</a:t>
          </a:fld>
          <a:endParaRPr lang="en-US" sz="1100">
            <a:solidFill>
              <a:schemeClr val="bg1">
                <a:lumMod val="95000"/>
              </a:schemeClr>
            </a:solidFill>
          </a:endParaRPr>
        </a:p>
      </xdr:txBody>
    </xdr:sp>
    <xdr:clientData/>
  </xdr:twoCellAnchor>
  <xdr:twoCellAnchor>
    <xdr:from>
      <xdr:col>2</xdr:col>
      <xdr:colOff>0</xdr:colOff>
      <xdr:row>15</xdr:row>
      <xdr:rowOff>0</xdr:rowOff>
    </xdr:from>
    <xdr:to>
      <xdr:col>3</xdr:col>
      <xdr:colOff>518160</xdr:colOff>
      <xdr:row>18</xdr:row>
      <xdr:rowOff>121920</xdr:rowOff>
    </xdr:to>
    <xdr:sp macro="" textlink="Pivots!C4">
      <xdr:nvSpPr>
        <xdr:cNvPr id="52" name="Rectangle 51">
          <a:extLst>
            <a:ext uri="{FF2B5EF4-FFF2-40B4-BE49-F238E27FC236}">
              <a16:creationId xmlns:a16="http://schemas.microsoft.com/office/drawing/2014/main" id="{C0D5669E-FA6A-47D6-A2D6-AA0E18202FA4}"/>
            </a:ext>
          </a:extLst>
        </xdr:cNvPr>
        <xdr:cNvSpPr/>
      </xdr:nvSpPr>
      <xdr:spPr>
        <a:xfrm>
          <a:off x="419100" y="2453640"/>
          <a:ext cx="1188720" cy="647700"/>
        </a:xfrm>
        <a:prstGeom prst="rect">
          <a:avLst/>
        </a:prstGeom>
        <a:solidFill>
          <a:srgbClr val="FF0000"/>
        </a:solidFill>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680CD81-6978-401A-92A2-F461D95079D5}" type="TxLink">
            <a:rPr lang="en-US" sz="2000" b="1" i="0" u="none" strike="noStrike">
              <a:solidFill>
                <a:schemeClr val="bg1"/>
              </a:solidFill>
              <a:latin typeface="+mj-lt"/>
              <a:ea typeface="+mn-ea"/>
              <a:cs typeface="+mn-cs"/>
            </a:rPr>
            <a:pPr marL="0" indent="0" algn="ctr"/>
            <a:t>89,850</a:t>
          </a:fld>
          <a:endParaRPr lang="en-US" sz="2000" b="1" i="0" u="none" strike="noStrike">
            <a:solidFill>
              <a:schemeClr val="bg1"/>
            </a:solidFill>
            <a:latin typeface="+mj-lt"/>
            <a:ea typeface="+mn-ea"/>
            <a:cs typeface="+mn-cs"/>
          </a:endParaRPr>
        </a:p>
      </xdr:txBody>
    </xdr:sp>
    <xdr:clientData/>
  </xdr:twoCellAnchor>
  <xdr:twoCellAnchor>
    <xdr:from>
      <xdr:col>2</xdr:col>
      <xdr:colOff>99060</xdr:colOff>
      <xdr:row>15</xdr:row>
      <xdr:rowOff>7620</xdr:rowOff>
    </xdr:from>
    <xdr:to>
      <xdr:col>3</xdr:col>
      <xdr:colOff>601980</xdr:colOff>
      <xdr:row>16</xdr:row>
      <xdr:rowOff>22860</xdr:rowOff>
    </xdr:to>
    <xdr:sp macro="" textlink="">
      <xdr:nvSpPr>
        <xdr:cNvPr id="53" name="TextBox 52">
          <a:extLst>
            <a:ext uri="{FF2B5EF4-FFF2-40B4-BE49-F238E27FC236}">
              <a16:creationId xmlns:a16="http://schemas.microsoft.com/office/drawing/2014/main" id="{7ACF5E34-5EAA-475C-9470-9B70045E830A}"/>
            </a:ext>
          </a:extLst>
        </xdr:cNvPr>
        <xdr:cNvSpPr txBox="1"/>
      </xdr:nvSpPr>
      <xdr:spPr>
        <a:xfrm>
          <a:off x="518160" y="2461260"/>
          <a:ext cx="11734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95000"/>
                </a:schemeClr>
              </a:solidFill>
              <a:latin typeface="+mj-lt"/>
            </a:rPr>
            <a:t>Total</a:t>
          </a:r>
          <a:r>
            <a:rPr lang="en-US" sz="1200" b="1" baseline="0">
              <a:solidFill>
                <a:schemeClr val="bg1">
                  <a:lumMod val="95000"/>
                </a:schemeClr>
              </a:solidFill>
              <a:latin typeface="+mj-lt"/>
            </a:rPr>
            <a:t> Duration</a:t>
          </a:r>
          <a:endParaRPr lang="en-US" sz="1100" b="1">
            <a:solidFill>
              <a:schemeClr val="bg1">
                <a:lumMod val="95000"/>
              </a:schemeClr>
            </a:solidFill>
            <a:latin typeface="+mj-lt"/>
          </a:endParaRPr>
        </a:p>
      </xdr:txBody>
    </xdr:sp>
    <xdr:clientData/>
  </xdr:twoCellAnchor>
  <xdr:twoCellAnchor editAs="oneCell">
    <xdr:from>
      <xdr:col>2</xdr:col>
      <xdr:colOff>53907</xdr:colOff>
      <xdr:row>15</xdr:row>
      <xdr:rowOff>68582</xdr:rowOff>
    </xdr:from>
    <xdr:to>
      <xdr:col>2</xdr:col>
      <xdr:colOff>221545</xdr:colOff>
      <xdr:row>16</xdr:row>
      <xdr:rowOff>60960</xdr:rowOff>
    </xdr:to>
    <xdr:pic>
      <xdr:nvPicPr>
        <xdr:cNvPr id="54" name="Graphic 53">
          <a:extLst>
            <a:ext uri="{FF2B5EF4-FFF2-40B4-BE49-F238E27FC236}">
              <a16:creationId xmlns:a16="http://schemas.microsoft.com/office/drawing/2014/main" id="{D8B7E6A4-76B2-4CA9-8B34-0F004D3F6D8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473007" y="2522222"/>
          <a:ext cx="167638" cy="167638"/>
        </a:xfrm>
        <a:prstGeom prst="rect">
          <a:avLst/>
        </a:prstGeom>
      </xdr:spPr>
    </xdr:pic>
    <xdr:clientData/>
  </xdr:twoCellAnchor>
  <xdr:twoCellAnchor>
    <xdr:from>
      <xdr:col>2</xdr:col>
      <xdr:colOff>304800</xdr:colOff>
      <xdr:row>17</xdr:row>
      <xdr:rowOff>106680</xdr:rowOff>
    </xdr:from>
    <xdr:to>
      <xdr:col>3</xdr:col>
      <xdr:colOff>243840</xdr:colOff>
      <xdr:row>18</xdr:row>
      <xdr:rowOff>99060</xdr:rowOff>
    </xdr:to>
    <xdr:sp macro="" textlink="Pivots!C8">
      <xdr:nvSpPr>
        <xdr:cNvPr id="55" name="TextBox 54">
          <a:extLst>
            <a:ext uri="{FF2B5EF4-FFF2-40B4-BE49-F238E27FC236}">
              <a16:creationId xmlns:a16="http://schemas.microsoft.com/office/drawing/2014/main" id="{B55EA1DD-A926-4C55-AD61-F5FA2313A0A4}"/>
            </a:ext>
          </a:extLst>
        </xdr:cNvPr>
        <xdr:cNvSpPr txBox="1"/>
      </xdr:nvSpPr>
      <xdr:spPr>
        <a:xfrm>
          <a:off x="723900" y="2910840"/>
          <a:ext cx="6096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5C4805-0061-4AE9-9BB9-BFD630F1670F}" type="TxLink">
            <a:rPr lang="en-US" sz="1100" b="0" i="0" u="none" strike="noStrike">
              <a:solidFill>
                <a:schemeClr val="bg1">
                  <a:lumMod val="95000"/>
                </a:schemeClr>
              </a:solidFill>
              <a:latin typeface="Aptos"/>
            </a:rPr>
            <a:pPr algn="ctr"/>
            <a:t>89,850</a:t>
          </a:fld>
          <a:endParaRPr lang="en-US" sz="1100">
            <a:solidFill>
              <a:schemeClr val="bg1">
                <a:lumMod val="95000"/>
              </a:schemeClr>
            </a:solidFill>
          </a:endParaRPr>
        </a:p>
      </xdr:txBody>
    </xdr:sp>
    <xdr:clientData/>
  </xdr:twoCellAnchor>
  <xdr:twoCellAnchor>
    <xdr:from>
      <xdr:col>2</xdr:col>
      <xdr:colOff>0</xdr:colOff>
      <xdr:row>22</xdr:row>
      <xdr:rowOff>0</xdr:rowOff>
    </xdr:from>
    <xdr:to>
      <xdr:col>3</xdr:col>
      <xdr:colOff>518160</xdr:colOff>
      <xdr:row>25</xdr:row>
      <xdr:rowOff>121920</xdr:rowOff>
    </xdr:to>
    <xdr:sp macro="" textlink="Pivots!D4">
      <xdr:nvSpPr>
        <xdr:cNvPr id="56" name="Rectangle 55">
          <a:extLst>
            <a:ext uri="{FF2B5EF4-FFF2-40B4-BE49-F238E27FC236}">
              <a16:creationId xmlns:a16="http://schemas.microsoft.com/office/drawing/2014/main" id="{BBCB5755-8793-417F-89C5-F40483DEEBA8}"/>
            </a:ext>
          </a:extLst>
        </xdr:cNvPr>
        <xdr:cNvSpPr/>
      </xdr:nvSpPr>
      <xdr:spPr>
        <a:xfrm>
          <a:off x="419100" y="3505200"/>
          <a:ext cx="1188720" cy="647700"/>
        </a:xfrm>
        <a:prstGeom prst="rect">
          <a:avLst/>
        </a:prstGeom>
        <a:solidFill>
          <a:srgbClr val="FF0000"/>
        </a:solidFill>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9A52CF7-7322-4282-8774-0D5D5FA8A425}" type="TxLink">
            <a:rPr lang="en-US" sz="2000" b="1" i="0" u="none" strike="noStrike">
              <a:solidFill>
                <a:schemeClr val="bg1"/>
              </a:solidFill>
              <a:latin typeface="+mj-lt"/>
              <a:ea typeface="+mn-ea"/>
              <a:cs typeface="+mn-cs"/>
            </a:rPr>
            <a:pPr marL="0" indent="0" algn="ctr"/>
            <a:t>3.89</a:t>
          </a:fld>
          <a:endParaRPr lang="en-US" sz="2000" b="1" i="0" u="none" strike="noStrike">
            <a:solidFill>
              <a:schemeClr val="bg1"/>
            </a:solidFill>
            <a:latin typeface="+mj-lt"/>
            <a:ea typeface="+mn-ea"/>
            <a:cs typeface="+mn-cs"/>
          </a:endParaRPr>
        </a:p>
      </xdr:txBody>
    </xdr:sp>
    <xdr:clientData/>
  </xdr:twoCellAnchor>
  <xdr:twoCellAnchor>
    <xdr:from>
      <xdr:col>2</xdr:col>
      <xdr:colOff>190500</xdr:colOff>
      <xdr:row>22</xdr:row>
      <xdr:rowOff>15240</xdr:rowOff>
    </xdr:from>
    <xdr:to>
      <xdr:col>3</xdr:col>
      <xdr:colOff>449580</xdr:colOff>
      <xdr:row>23</xdr:row>
      <xdr:rowOff>53340</xdr:rowOff>
    </xdr:to>
    <xdr:sp macro="" textlink="">
      <xdr:nvSpPr>
        <xdr:cNvPr id="57" name="TextBox 56">
          <a:extLst>
            <a:ext uri="{FF2B5EF4-FFF2-40B4-BE49-F238E27FC236}">
              <a16:creationId xmlns:a16="http://schemas.microsoft.com/office/drawing/2014/main" id="{4DA72696-63AC-4B47-9CE0-93D11651C6BC}"/>
            </a:ext>
          </a:extLst>
        </xdr:cNvPr>
        <xdr:cNvSpPr txBox="1"/>
      </xdr:nvSpPr>
      <xdr:spPr>
        <a:xfrm>
          <a:off x="609600" y="3520440"/>
          <a:ext cx="9296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95000"/>
                </a:schemeClr>
              </a:solidFill>
              <a:latin typeface="+mj-lt"/>
            </a:rPr>
            <a:t>Avg</a:t>
          </a:r>
          <a:r>
            <a:rPr lang="en-US" sz="1200" b="1" baseline="0">
              <a:solidFill>
                <a:schemeClr val="bg1">
                  <a:lumMod val="95000"/>
                </a:schemeClr>
              </a:solidFill>
              <a:latin typeface="+mj-lt"/>
            </a:rPr>
            <a:t> Rating</a:t>
          </a:r>
          <a:endParaRPr lang="en-US" sz="1100" b="1">
            <a:solidFill>
              <a:schemeClr val="bg1">
                <a:lumMod val="95000"/>
              </a:schemeClr>
            </a:solidFill>
            <a:latin typeface="+mj-lt"/>
          </a:endParaRPr>
        </a:p>
      </xdr:txBody>
    </xdr:sp>
    <xdr:clientData/>
  </xdr:twoCellAnchor>
  <xdr:twoCellAnchor editAs="oneCell">
    <xdr:from>
      <xdr:col>2</xdr:col>
      <xdr:colOff>76767</xdr:colOff>
      <xdr:row>22</xdr:row>
      <xdr:rowOff>68582</xdr:rowOff>
    </xdr:from>
    <xdr:to>
      <xdr:col>2</xdr:col>
      <xdr:colOff>244405</xdr:colOff>
      <xdr:row>23</xdr:row>
      <xdr:rowOff>45720</xdr:rowOff>
    </xdr:to>
    <xdr:pic>
      <xdr:nvPicPr>
        <xdr:cNvPr id="58" name="Graphic 57">
          <a:extLst>
            <a:ext uri="{FF2B5EF4-FFF2-40B4-BE49-F238E27FC236}">
              <a16:creationId xmlns:a16="http://schemas.microsoft.com/office/drawing/2014/main" id="{54D2626A-8DFE-4326-AE7A-C9B5A9BDCD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495867" y="3573782"/>
          <a:ext cx="167638" cy="167638"/>
        </a:xfrm>
        <a:prstGeom prst="rect">
          <a:avLst/>
        </a:prstGeom>
      </xdr:spPr>
    </xdr:pic>
    <xdr:clientData/>
  </xdr:twoCellAnchor>
  <xdr:twoCellAnchor>
    <xdr:from>
      <xdr:col>2</xdr:col>
      <xdr:colOff>304800</xdr:colOff>
      <xdr:row>24</xdr:row>
      <xdr:rowOff>106680</xdr:rowOff>
    </xdr:from>
    <xdr:to>
      <xdr:col>3</xdr:col>
      <xdr:colOff>243840</xdr:colOff>
      <xdr:row>25</xdr:row>
      <xdr:rowOff>99060</xdr:rowOff>
    </xdr:to>
    <xdr:sp macro="" textlink="Pivots!D8">
      <xdr:nvSpPr>
        <xdr:cNvPr id="59" name="TextBox 58">
          <a:extLst>
            <a:ext uri="{FF2B5EF4-FFF2-40B4-BE49-F238E27FC236}">
              <a16:creationId xmlns:a16="http://schemas.microsoft.com/office/drawing/2014/main" id="{1736139D-5411-4ED3-99A9-3781203CA27C}"/>
            </a:ext>
          </a:extLst>
        </xdr:cNvPr>
        <xdr:cNvSpPr txBox="1"/>
      </xdr:nvSpPr>
      <xdr:spPr>
        <a:xfrm>
          <a:off x="723900" y="3962400"/>
          <a:ext cx="6096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A6D036-2BD7-4FBE-BF45-30C23EAF8CAB}" type="TxLink">
            <a:rPr lang="en-US" sz="1100" b="0" i="0" u="none" strike="noStrike">
              <a:solidFill>
                <a:schemeClr val="bg1">
                  <a:lumMod val="95000"/>
                </a:schemeClr>
              </a:solidFill>
              <a:latin typeface="Aptos"/>
            </a:rPr>
            <a:pPr algn="ctr"/>
            <a:t>3.89</a:t>
          </a:fld>
          <a:endParaRPr lang="en-US" sz="1100">
            <a:solidFill>
              <a:schemeClr val="bg1">
                <a:lumMod val="95000"/>
              </a:schemeClr>
            </a:solidFill>
          </a:endParaRPr>
        </a:p>
      </xdr:txBody>
    </xdr:sp>
    <xdr:clientData/>
  </xdr:twoCellAnchor>
  <xdr:twoCellAnchor>
    <xdr:from>
      <xdr:col>2</xdr:col>
      <xdr:colOff>0</xdr:colOff>
      <xdr:row>29</xdr:row>
      <xdr:rowOff>0</xdr:rowOff>
    </xdr:from>
    <xdr:to>
      <xdr:col>3</xdr:col>
      <xdr:colOff>518160</xdr:colOff>
      <xdr:row>32</xdr:row>
      <xdr:rowOff>121920</xdr:rowOff>
    </xdr:to>
    <xdr:sp macro="" textlink="Pivots!E4">
      <xdr:nvSpPr>
        <xdr:cNvPr id="60" name="Rectangle 59">
          <a:extLst>
            <a:ext uri="{FF2B5EF4-FFF2-40B4-BE49-F238E27FC236}">
              <a16:creationId xmlns:a16="http://schemas.microsoft.com/office/drawing/2014/main" id="{2A5E3390-C32B-4F71-BE22-31D737289408}"/>
            </a:ext>
          </a:extLst>
        </xdr:cNvPr>
        <xdr:cNvSpPr/>
      </xdr:nvSpPr>
      <xdr:spPr>
        <a:xfrm>
          <a:off x="419100" y="4556760"/>
          <a:ext cx="1188720" cy="647700"/>
        </a:xfrm>
        <a:prstGeom prst="rect">
          <a:avLst/>
        </a:prstGeom>
        <a:solidFill>
          <a:srgbClr val="FF0000"/>
        </a:solidFill>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2252E92-010C-4977-9875-86C2D7315B56}" type="TxLink">
            <a:rPr lang="en-US" sz="2000" b="1" i="0" u="none" strike="noStrike">
              <a:solidFill>
                <a:schemeClr val="bg1"/>
              </a:solidFill>
              <a:latin typeface="+mj-lt"/>
              <a:ea typeface="+mn-ea"/>
              <a:cs typeface="+mn-cs"/>
            </a:rPr>
            <a:pPr marL="0" indent="0" algn="ctr"/>
            <a:t>307.00</a:t>
          </a:fld>
          <a:endParaRPr lang="en-US" sz="2000" b="1" i="0" u="none" strike="noStrike">
            <a:solidFill>
              <a:schemeClr val="bg1"/>
            </a:solidFill>
            <a:latin typeface="+mj-lt"/>
            <a:ea typeface="+mn-ea"/>
            <a:cs typeface="+mn-cs"/>
          </a:endParaRPr>
        </a:p>
      </xdr:txBody>
    </xdr:sp>
    <xdr:clientData/>
  </xdr:twoCellAnchor>
  <xdr:twoCellAnchor>
    <xdr:from>
      <xdr:col>1</xdr:col>
      <xdr:colOff>144780</xdr:colOff>
      <xdr:row>29</xdr:row>
      <xdr:rowOff>15240</xdr:rowOff>
    </xdr:from>
    <xdr:to>
      <xdr:col>3</xdr:col>
      <xdr:colOff>563880</xdr:colOff>
      <xdr:row>29</xdr:row>
      <xdr:rowOff>160020</xdr:rowOff>
    </xdr:to>
    <xdr:sp macro="" textlink="">
      <xdr:nvSpPr>
        <xdr:cNvPr id="61" name="TextBox 60">
          <a:extLst>
            <a:ext uri="{FF2B5EF4-FFF2-40B4-BE49-F238E27FC236}">
              <a16:creationId xmlns:a16="http://schemas.microsoft.com/office/drawing/2014/main" id="{D8056211-2082-4DB6-80BC-6C628E49F756}"/>
            </a:ext>
          </a:extLst>
        </xdr:cNvPr>
        <xdr:cNvSpPr txBox="1"/>
      </xdr:nvSpPr>
      <xdr:spPr>
        <a:xfrm>
          <a:off x="350520" y="4572000"/>
          <a:ext cx="1303020" cy="144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95000"/>
                </a:schemeClr>
              </a:solidFill>
              <a:latin typeface="+mj-lt"/>
            </a:rPr>
            <a:t>Happy</a:t>
          </a:r>
          <a:r>
            <a:rPr lang="en-US" sz="1200" b="1" baseline="0">
              <a:solidFill>
                <a:schemeClr val="bg1">
                  <a:lumMod val="95000"/>
                </a:schemeClr>
              </a:solidFill>
              <a:latin typeface="+mj-lt"/>
            </a:rPr>
            <a:t> Customers</a:t>
          </a:r>
          <a:endParaRPr lang="en-US" sz="1100" b="1">
            <a:solidFill>
              <a:schemeClr val="bg1">
                <a:lumMod val="95000"/>
              </a:schemeClr>
            </a:solidFill>
            <a:latin typeface="+mj-lt"/>
          </a:endParaRPr>
        </a:p>
      </xdr:txBody>
    </xdr:sp>
    <xdr:clientData/>
  </xdr:twoCellAnchor>
  <xdr:twoCellAnchor editAs="oneCell">
    <xdr:from>
      <xdr:col>1</xdr:col>
      <xdr:colOff>206307</xdr:colOff>
      <xdr:row>29</xdr:row>
      <xdr:rowOff>167642</xdr:rowOff>
    </xdr:from>
    <xdr:to>
      <xdr:col>2</xdr:col>
      <xdr:colOff>160585</xdr:colOff>
      <xdr:row>30</xdr:row>
      <xdr:rowOff>144781</xdr:rowOff>
    </xdr:to>
    <xdr:pic>
      <xdr:nvPicPr>
        <xdr:cNvPr id="62" name="Graphic 61">
          <a:extLst>
            <a:ext uri="{FF2B5EF4-FFF2-40B4-BE49-F238E27FC236}">
              <a16:creationId xmlns:a16="http://schemas.microsoft.com/office/drawing/2014/main" id="{B485AF57-BA7E-4E41-B224-C9D7A677CCB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412047" y="4724402"/>
          <a:ext cx="167638" cy="167638"/>
        </a:xfrm>
        <a:prstGeom prst="rect">
          <a:avLst/>
        </a:prstGeom>
      </xdr:spPr>
    </xdr:pic>
    <xdr:clientData/>
  </xdr:twoCellAnchor>
  <xdr:twoCellAnchor>
    <xdr:from>
      <xdr:col>2</xdr:col>
      <xdr:colOff>304800</xdr:colOff>
      <xdr:row>31</xdr:row>
      <xdr:rowOff>106680</xdr:rowOff>
    </xdr:from>
    <xdr:to>
      <xdr:col>3</xdr:col>
      <xdr:colOff>243840</xdr:colOff>
      <xdr:row>32</xdr:row>
      <xdr:rowOff>99060</xdr:rowOff>
    </xdr:to>
    <xdr:sp macro="" textlink="Pivots!E8">
      <xdr:nvSpPr>
        <xdr:cNvPr id="63" name="TextBox 62">
          <a:extLst>
            <a:ext uri="{FF2B5EF4-FFF2-40B4-BE49-F238E27FC236}">
              <a16:creationId xmlns:a16="http://schemas.microsoft.com/office/drawing/2014/main" id="{2E34EE2E-3C6A-4F51-8419-43F8078A029B}"/>
            </a:ext>
          </a:extLst>
        </xdr:cNvPr>
        <xdr:cNvSpPr txBox="1"/>
      </xdr:nvSpPr>
      <xdr:spPr>
        <a:xfrm>
          <a:off x="723900" y="5013960"/>
          <a:ext cx="60960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AAB190-47C7-4B5F-923F-3A9907FFB88C}" type="TxLink">
            <a:rPr lang="en-US" sz="1100" b="0" i="0" u="none" strike="noStrike">
              <a:solidFill>
                <a:schemeClr val="bg1">
                  <a:lumMod val="95000"/>
                </a:schemeClr>
              </a:solidFill>
              <a:latin typeface="Aptos"/>
            </a:rPr>
            <a:pPr algn="ctr"/>
            <a:t>307.00</a:t>
          </a:fld>
          <a:endParaRPr lang="en-US" sz="1100">
            <a:solidFill>
              <a:schemeClr val="bg1">
                <a:lumMod val="95000"/>
              </a:schemeClr>
            </a:solidFill>
          </a:endParaRPr>
        </a:p>
      </xdr:txBody>
    </xdr:sp>
    <xdr:clientData/>
  </xdr:twoCellAnchor>
  <xdr:twoCellAnchor>
    <xdr:from>
      <xdr:col>4</xdr:col>
      <xdr:colOff>7620</xdr:colOff>
      <xdr:row>1</xdr:row>
      <xdr:rowOff>7619</xdr:rowOff>
    </xdr:from>
    <xdr:to>
      <xdr:col>10</xdr:col>
      <xdr:colOff>30480</xdr:colOff>
      <xdr:row>16</xdr:row>
      <xdr:rowOff>118532</xdr:rowOff>
    </xdr:to>
    <xdr:graphicFrame macro="">
      <xdr:nvGraphicFramePr>
        <xdr:cNvPr id="23" name="Chart 22">
          <a:extLst>
            <a:ext uri="{FF2B5EF4-FFF2-40B4-BE49-F238E27FC236}">
              <a16:creationId xmlns:a16="http://schemas.microsoft.com/office/drawing/2014/main" id="{BCB2040E-552A-4E26-A1D0-3AC134C9C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5928</xdr:colOff>
      <xdr:row>17</xdr:row>
      <xdr:rowOff>14391</xdr:rowOff>
    </xdr:from>
    <xdr:to>
      <xdr:col>12</xdr:col>
      <xdr:colOff>643467</xdr:colOff>
      <xdr:row>26</xdr:row>
      <xdr:rowOff>25400</xdr:rowOff>
    </xdr:to>
    <mc:AlternateContent xmlns:mc="http://schemas.openxmlformats.org/markup-compatibility/2006">
      <mc:Choice xmlns:a14="http://schemas.microsoft.com/office/drawing/2010/main" Requires="a14">
        <xdr:graphicFrame macro="">
          <xdr:nvGraphicFramePr>
            <xdr:cNvPr id="24" name="Representative">
              <a:extLst>
                <a:ext uri="{FF2B5EF4-FFF2-40B4-BE49-F238E27FC236}">
                  <a16:creationId xmlns:a16="http://schemas.microsoft.com/office/drawing/2014/main" id="{AD5024A5-1577-4147-B7F6-A625576856CA}"/>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440595" y="3290991"/>
              <a:ext cx="1306405" cy="1763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79587</xdr:colOff>
      <xdr:row>1</xdr:row>
      <xdr:rowOff>14394</xdr:rowOff>
    </xdr:from>
    <xdr:to>
      <xdr:col>14</xdr:col>
      <xdr:colOff>95674</xdr:colOff>
      <xdr:row>16</xdr:row>
      <xdr:rowOff>127000</xdr:rowOff>
    </xdr:to>
    <xdr:graphicFrame macro="">
      <xdr:nvGraphicFramePr>
        <xdr:cNvPr id="25" name="Chart 24">
          <a:extLst>
            <a:ext uri="{FF2B5EF4-FFF2-40B4-BE49-F238E27FC236}">
              <a16:creationId xmlns:a16="http://schemas.microsoft.com/office/drawing/2014/main" id="{FAF9B206-338D-4EAE-B8A5-A7877A9B3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22860</xdr:colOff>
      <xdr:row>17</xdr:row>
      <xdr:rowOff>62837</xdr:rowOff>
    </xdr:from>
    <xdr:to>
      <xdr:col>10</xdr:col>
      <xdr:colOff>358140</xdr:colOff>
      <xdr:row>33</xdr:row>
      <xdr:rowOff>124272</xdr:rowOff>
    </xdr:to>
    <xdr:grpSp>
      <xdr:nvGrpSpPr>
        <xdr:cNvPr id="2" name="Group 1">
          <a:extLst>
            <a:ext uri="{FF2B5EF4-FFF2-40B4-BE49-F238E27FC236}">
              <a16:creationId xmlns:a16="http://schemas.microsoft.com/office/drawing/2014/main" id="{2DEA5DB5-2A32-40D4-A153-4DEF5C661641}"/>
            </a:ext>
          </a:extLst>
        </xdr:cNvPr>
        <xdr:cNvGrpSpPr/>
      </xdr:nvGrpSpPr>
      <xdr:grpSpPr>
        <a:xfrm>
          <a:off x="1775460" y="3339437"/>
          <a:ext cx="4348480" cy="3177168"/>
          <a:chOff x="1767840" y="2667000"/>
          <a:chExt cx="4358640" cy="2763195"/>
        </a:xfrm>
        <a:noFill/>
      </xdr:grpSpPr>
      <xdr:graphicFrame macro="">
        <xdr:nvGraphicFramePr>
          <xdr:cNvPr id="26" name="Chart 25">
            <a:extLst>
              <a:ext uri="{FF2B5EF4-FFF2-40B4-BE49-F238E27FC236}">
                <a16:creationId xmlns:a16="http://schemas.microsoft.com/office/drawing/2014/main" id="{660D7D09-2B48-4A78-8920-42AC654978D5}"/>
              </a:ext>
            </a:extLst>
          </xdr:cNvPr>
          <xdr:cNvGraphicFramePr>
            <a:graphicFrameLocks/>
          </xdr:cNvGraphicFramePr>
        </xdr:nvGraphicFramePr>
        <xdr:xfrm>
          <a:off x="1767840" y="2667000"/>
          <a:ext cx="2301240" cy="27432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7" name="Chart 26">
            <a:extLst>
              <a:ext uri="{FF2B5EF4-FFF2-40B4-BE49-F238E27FC236}">
                <a16:creationId xmlns:a16="http://schemas.microsoft.com/office/drawing/2014/main" id="{B7EBD85B-7C79-4878-BFE2-E87A89567DAF}"/>
              </a:ext>
            </a:extLst>
          </xdr:cNvPr>
          <xdr:cNvGraphicFramePr>
            <a:graphicFrameLocks/>
          </xdr:cNvGraphicFramePr>
        </xdr:nvGraphicFramePr>
        <xdr:xfrm>
          <a:off x="4069080" y="2686995"/>
          <a:ext cx="2057400" cy="27432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14</xdr:col>
      <xdr:colOff>135468</xdr:colOff>
      <xdr:row>1</xdr:row>
      <xdr:rowOff>14393</xdr:rowOff>
    </xdr:from>
    <xdr:to>
      <xdr:col>17</xdr:col>
      <xdr:colOff>440267</xdr:colOff>
      <xdr:row>16</xdr:row>
      <xdr:rowOff>128693</xdr:rowOff>
    </xdr:to>
    <xdr:graphicFrame macro="">
      <xdr:nvGraphicFramePr>
        <xdr:cNvPr id="30" name="Chart 29">
          <a:extLst>
            <a:ext uri="{FF2B5EF4-FFF2-40B4-BE49-F238E27FC236}">
              <a16:creationId xmlns:a16="http://schemas.microsoft.com/office/drawing/2014/main" id="{809D8FFA-72B3-4546-AECC-8C0CB3C1C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485139</xdr:colOff>
      <xdr:row>1</xdr:row>
      <xdr:rowOff>13546</xdr:rowOff>
    </xdr:from>
    <xdr:to>
      <xdr:col>21</xdr:col>
      <xdr:colOff>0</xdr:colOff>
      <xdr:row>16</xdr:row>
      <xdr:rowOff>127846</xdr:rowOff>
    </xdr:to>
    <xdr:graphicFrame macro="">
      <xdr:nvGraphicFramePr>
        <xdr:cNvPr id="31" name="Chart 30">
          <a:extLst>
            <a:ext uri="{FF2B5EF4-FFF2-40B4-BE49-F238E27FC236}">
              <a16:creationId xmlns:a16="http://schemas.microsoft.com/office/drawing/2014/main" id="{E3D341B9-A868-40D0-8D5D-2670A64B4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191346</xdr:colOff>
      <xdr:row>8</xdr:row>
      <xdr:rowOff>9313</xdr:rowOff>
    </xdr:from>
    <xdr:to>
      <xdr:col>3</xdr:col>
      <xdr:colOff>496146</xdr:colOff>
      <xdr:row>11</xdr:row>
      <xdr:rowOff>131233</xdr:rowOff>
    </xdr:to>
    <xdr:grpSp>
      <xdr:nvGrpSpPr>
        <xdr:cNvPr id="15" name="Group 14">
          <a:extLst>
            <a:ext uri="{FF2B5EF4-FFF2-40B4-BE49-F238E27FC236}">
              <a16:creationId xmlns:a16="http://schemas.microsoft.com/office/drawing/2014/main" id="{DE805C13-0759-4B73-9523-B95E94E48EEA}"/>
            </a:ext>
          </a:extLst>
        </xdr:cNvPr>
        <xdr:cNvGrpSpPr/>
      </xdr:nvGrpSpPr>
      <xdr:grpSpPr>
        <a:xfrm>
          <a:off x="394546" y="1685713"/>
          <a:ext cx="1185333" cy="655320"/>
          <a:chOff x="784013" y="2388446"/>
          <a:chExt cx="1185333" cy="655320"/>
        </a:xfrm>
      </xdr:grpSpPr>
      <xdr:grpSp>
        <xdr:nvGrpSpPr>
          <xdr:cNvPr id="14" name="Group 13">
            <a:extLst>
              <a:ext uri="{FF2B5EF4-FFF2-40B4-BE49-F238E27FC236}">
                <a16:creationId xmlns:a16="http://schemas.microsoft.com/office/drawing/2014/main" id="{E5343518-2042-4F47-93EE-D307D9921934}"/>
              </a:ext>
            </a:extLst>
          </xdr:cNvPr>
          <xdr:cNvGrpSpPr/>
        </xdr:nvGrpSpPr>
        <xdr:grpSpPr>
          <a:xfrm>
            <a:off x="784013" y="2388446"/>
            <a:ext cx="1185333" cy="655320"/>
            <a:chOff x="394546" y="1558713"/>
            <a:chExt cx="1185333" cy="655320"/>
          </a:xfrm>
        </xdr:grpSpPr>
        <xdr:sp macro="" textlink="Pivots!B4">
          <xdr:nvSpPr>
            <xdr:cNvPr id="44" name="Rectangle 43">
              <a:extLst>
                <a:ext uri="{FF2B5EF4-FFF2-40B4-BE49-F238E27FC236}">
                  <a16:creationId xmlns:a16="http://schemas.microsoft.com/office/drawing/2014/main" id="{20CF1B51-DC5E-4D22-A409-0D47F4508D24}"/>
                </a:ext>
              </a:extLst>
            </xdr:cNvPr>
            <xdr:cNvSpPr/>
          </xdr:nvSpPr>
          <xdr:spPr>
            <a:xfrm>
              <a:off x="394546" y="1558713"/>
              <a:ext cx="1185333" cy="655320"/>
            </a:xfrm>
            <a:prstGeom prst="rect">
              <a:avLst/>
            </a:prstGeom>
            <a:solidFill>
              <a:srgbClr val="FF0000"/>
            </a:solidFill>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1FF991D-00A2-42A4-BD6E-0D7A65D7990C}" type="TxLink">
                <a:rPr lang="en-US" sz="2000" b="1" i="0" u="none" strike="noStrike">
                  <a:solidFill>
                    <a:schemeClr val="bg1"/>
                  </a:solidFill>
                  <a:latin typeface="+mj-lt"/>
                  <a:ea typeface="+mn-ea"/>
                  <a:cs typeface="+mn-cs"/>
                </a:rPr>
                <a:pPr marL="0" indent="0" algn="ctr"/>
                <a:t>$96,623</a:t>
              </a:fld>
              <a:endParaRPr lang="en-US" sz="2000" b="1" i="0" u="none" strike="noStrike">
                <a:solidFill>
                  <a:schemeClr val="bg1"/>
                </a:solidFill>
                <a:latin typeface="+mj-lt"/>
                <a:ea typeface="+mn-ea"/>
                <a:cs typeface="+mn-cs"/>
              </a:endParaRPr>
            </a:p>
          </xdr:txBody>
        </xdr:sp>
        <xdr:sp macro="" textlink="Pivots!B8">
          <xdr:nvSpPr>
            <xdr:cNvPr id="46" name="TextBox 45">
              <a:extLst>
                <a:ext uri="{FF2B5EF4-FFF2-40B4-BE49-F238E27FC236}">
                  <a16:creationId xmlns:a16="http://schemas.microsoft.com/office/drawing/2014/main" id="{D6777D5D-F8C4-40C1-9B86-B95114455A66}"/>
                </a:ext>
              </a:extLst>
            </xdr:cNvPr>
            <xdr:cNvSpPr txBox="1"/>
          </xdr:nvSpPr>
          <xdr:spPr>
            <a:xfrm>
              <a:off x="648545" y="2007446"/>
              <a:ext cx="607906" cy="170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A47C23-C3C0-4CB5-B97D-938FB533DFEF}" type="TxLink">
                <a:rPr lang="en-US" sz="1100" b="0" i="0" u="none" strike="noStrike">
                  <a:solidFill>
                    <a:schemeClr val="bg1">
                      <a:lumMod val="95000"/>
                    </a:schemeClr>
                  </a:solidFill>
                  <a:latin typeface="Aptos"/>
                </a:rPr>
                <a:pPr algn="ctr"/>
                <a:t>$96,623</a:t>
              </a:fld>
              <a:endParaRPr lang="en-US" sz="1100">
                <a:solidFill>
                  <a:schemeClr val="bg1">
                    <a:lumMod val="95000"/>
                  </a:schemeClr>
                </a:solidFill>
              </a:endParaRPr>
            </a:p>
          </xdr:txBody>
        </xdr:sp>
        <xdr:pic>
          <xdr:nvPicPr>
            <xdr:cNvPr id="47" name="Graphic 46">
              <a:extLst>
                <a:ext uri="{FF2B5EF4-FFF2-40B4-BE49-F238E27FC236}">
                  <a16:creationId xmlns:a16="http://schemas.microsoft.com/office/drawing/2014/main" id="{D92F56F8-D735-4D11-9D1E-17859BC5C4F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rcRect/>
            <a:stretch/>
          </xdr:blipFill>
          <xdr:spPr>
            <a:xfrm>
              <a:off x="411480" y="1601046"/>
              <a:ext cx="167638" cy="170178"/>
            </a:xfrm>
            <a:prstGeom prst="rect">
              <a:avLst/>
            </a:prstGeom>
          </xdr:spPr>
        </xdr:pic>
      </xdr:grpSp>
      <xdr:sp macro="" textlink="">
        <xdr:nvSpPr>
          <xdr:cNvPr id="64" name="TextBox 63">
            <a:extLst>
              <a:ext uri="{FF2B5EF4-FFF2-40B4-BE49-F238E27FC236}">
                <a16:creationId xmlns:a16="http://schemas.microsoft.com/office/drawing/2014/main" id="{29EEA61C-A219-4452-9106-DE2487B88631}"/>
              </a:ext>
            </a:extLst>
          </xdr:cNvPr>
          <xdr:cNvSpPr txBox="1"/>
        </xdr:nvSpPr>
        <xdr:spPr>
          <a:xfrm>
            <a:off x="860213" y="2413846"/>
            <a:ext cx="1103206" cy="162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95000"/>
                  </a:schemeClr>
                </a:solidFill>
                <a:latin typeface="+mj-lt"/>
              </a:rPr>
              <a:t>Total Amount</a:t>
            </a:r>
            <a:endParaRPr lang="en-US" sz="1100" b="1">
              <a:solidFill>
                <a:schemeClr val="bg1">
                  <a:lumMod val="95000"/>
                </a:schemeClr>
              </a:solidFill>
              <a:latin typeface="+mj-lt"/>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0.920888194443" backgroundQuery="1" createdVersion="7" refreshedVersion="7" minRefreshableVersion="3" recordCount="0" supportSubquery="1" supportAdvancedDrill="1" xr:uid="{AC9A27E5-8AA0-4CC0-B6B7-552685A9B466}">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 Rating]" caption="Av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0.86041296296" backgroundQuery="1" createdVersion="7" refreshedVersion="7" minRefreshableVersion="3" recordCount="0" supportSubquery="1" supportAdvancedDrill="1" xr:uid="{F531E6CD-EAE6-4C80-8376-A1E664510BBC}">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 Rating]" caption="Ave Rating" numFmtId="0" hierarchy="20" level="32767"/>
    <cacheField name="[Measures].[5 * Calls]" caption="5 *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 Rating]" caption="Ave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0.898513541666" backgroundQuery="1" createdVersion="7" refreshedVersion="7" minRefreshableVersion="3" recordCount="0" supportSubquery="1" supportAdvancedDrill="1" xr:uid="{D04B4892-9718-45D1-BC2A-AC4F22CE335A}">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 Rating]" caption="Av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1.866838310183" backgroundQuery="1" createdVersion="7" refreshedVersion="7" minRefreshableVersion="3" recordCount="0" supportSubquery="1" supportAdvancedDrill="1" xr:uid="{BAC937FE-140F-4A55-987F-82E04B81A006}">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5"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 Rating]" caption="Av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378673032406" backgroundQuery="1" createdVersion="7" refreshedVersion="7" minRefreshableVersion="3" recordCount="0" supportSubquery="1" supportAdvancedDrill="1" xr:uid="{2CB05B29-8069-421C-A3F7-754FF77278E6}">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 Rating]" caption="Av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378673495368" backgroundQuery="1" createdVersion="7" refreshedVersion="7" minRefreshableVersion="3" recordCount="0" supportSubquery="1" supportAdvancedDrill="1" xr:uid="{A00798E3-5BBB-463F-ACE2-20C0CAB56A8C}">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 Rating]" caption="Av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37867395833" backgroundQuery="1" createdVersion="7" refreshedVersion="7" minRefreshableVersion="3" recordCount="0" supportSubquery="1" supportAdvancedDrill="1" xr:uid="{D87A8751-A28B-45C0-BF5D-B47FAEDC3B06}">
  <cacheSource type="external" connectionId="1"/>
  <cacheFields count="2">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 Rating]" caption="Av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378674305553" backgroundQuery="1" createdVersion="7" refreshedVersion="7" minRefreshableVersion="3" recordCount="0" supportSubquery="1" supportAdvancedDrill="1" xr:uid="{479E0F22-1BEA-487A-82A3-7BF94FFCD7F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 Rating]" caption="Ave Rating" numFmtId="0" hierarchy="20" level="32767"/>
    <cacheField name="[Measures].[5 * Calls]" caption="5 *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 Rating]" caption="Ave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7.378674652777" backgroundQuery="1" createdVersion="7" refreshedVersion="7" minRefreshableVersion="3" recordCount="0" supportSubquery="1" supportAdvancedDrill="1" xr:uid="{4438D0E1-E1EA-4303-AE45-4F91F38493E3}">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 Rating]" caption="Av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30.86040902778" backgroundQuery="1" createdVersion="3" refreshedVersion="7" minRefreshableVersion="3" recordCount="0" supportSubquery="1" supportAdvancedDrill="1" xr:uid="{DF61D306-B99D-402D-A152-FE4AFC5DCCF2}">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 Rating]" caption="Av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364513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BADAB3-5280-4956-BDAE-52816C7C2458}" name="Summery pivot" cacheId="536" applyNumberFormats="0" applyBorderFormats="0" applyFontFormats="0" applyPatternFormats="0" applyAlignmentFormats="0" applyWidthHeightFormats="1" dataCaption="Values" tag="ab64c89a-05ee-4714-b1af-38cf4cee060f"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14E5CC-4DDC-4595-AD25-51448ED2BB33}" name="Rep satisfaction" cacheId="75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A69:B7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3">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0DBC9-9F47-4CB0-8334-460DD4DC2AED}" name="Rep pivot" cacheId="751" applyNumberFormats="0" applyBorderFormats="0" applyFontFormats="0" applyPatternFormats="0" applyAlignmentFormats="0" applyWidthHeightFormats="1" dataCaption="Values" tag="6539c362-767e-4b4b-bedd-d39a949bef1b" updatedVersion="7" minRefreshableVersion="3" useAutoFormatting="1" subtotalHiddenItems="1" itemPrintTitles="1" createdVersion="7"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A4AF6A-BAB6-4939-9223-245530F1A9D9}" name="Rep pivot table" cacheId="537" applyNumberFormats="0" applyBorderFormats="0" applyFontFormats="0" applyPatternFormats="0" applyAlignmentFormats="0" applyWidthHeightFormats="1" dataCaption="Values" tag="6539c362-767e-4b4b-bedd-d39a949bef1b" updatedVersion="7" minRefreshableVersion="3" useAutoFormatting="1" subtotalHiddenItems="1" itemPrintTitles="1" createdVersion="7" indent="0" outline="1" outlineData="1" multipleFieldFilters="0" chartFormat="11">
  <location ref="A47:C53" firstHeaderRow="0" firstDataRow="1" firstDataCol="1"/>
  <pivotFields count="4">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fld="2" subtotal="count" baseField="0" baseItem="0"/>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82F4A8-A6B3-478D-80AE-74778CC4530A}" name="week trind" cacheId="745" applyNumberFormats="0" applyBorderFormats="0" applyFontFormats="0" applyPatternFormats="0" applyAlignmentFormats="0" applyWidthHeightFormats="1" dataCaption="Values" tag="6539c362-767e-4b4b-bedd-d39a949bef1b" updatedVersion="7" minRefreshableVersion="3" useAutoFormatting="1" subtotalHiddenItems="1" itemPrintTitles="1" createdVersion="7" indent="0" outline="1" outlineData="1" multipleFieldFilters="0" chartFormat="14">
  <location ref="A36:B44"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17BEC7-049D-4B39-B057-3F0A49368C3C}" name="selected rep pivot" cacheId="748" applyNumberFormats="0" applyBorderFormats="0" applyFontFormats="0" applyPatternFormats="0" applyAlignmentFormats="0" applyWidthHeightFormats="1" dataCaption="Values" tag="6539c362-767e-4b4b-bedd-d39a949bef1b" updatedVersion="7" minRefreshableVersion="3" useAutoFormatting="1" subtotalHiddenItems="1" rowGrandTotals="0" colGrandTotals="0" itemPrintTitles="1" createdVersion="7" indent="0" outline="1" outlineData="1" multipleFieldFilters="0" chartFormat="11">
  <location ref="E56:E61" firstHeaderRow="1" firstDataRow="1" firstDataCol="1"/>
  <pivotFields count="2">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5">
        <item x="0"/>
        <item x="1"/>
        <item x="2"/>
        <item x="3"/>
        <item x="4"/>
      </items>
    </pivotField>
  </pivotFields>
  <rowFields count="1">
    <field x="1"/>
  </rowFields>
  <rowItems count="5">
    <i>
      <x/>
    </i>
    <i>
      <x v="1"/>
    </i>
    <i>
      <x v="2"/>
    </i>
    <i>
      <x v="3"/>
    </i>
    <i>
      <x v="4"/>
    </i>
  </rowItems>
  <formats count="1">
    <format dxfId="15">
      <pivotArea dataOnly="0" labelOnly="1" fieldPosition="0">
        <references count="1">
          <reference field="1"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C60597-B85C-4FA6-A604-80E1770D5242}" name="Rep Amount" cacheId="538"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location ref="A78:G9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e Amount" fld="3" baseField="2" baseItem="5" numFmtId="167"/>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BD8B90-F20D-4C3A-BE51-C4C386CA2318}" name="monthly trind" cacheId="742" applyNumberFormats="0" applyBorderFormats="0" applyFontFormats="0" applyPatternFormats="0" applyAlignmentFormats="0" applyWidthHeightFormats="1" dataCaption="Values" tag="6539c362-767e-4b4b-bedd-d39a949bef1b" updatedVersion="7" minRefreshableVersion="3" useAutoFormatting="1" subtotalHiddenItems="1" itemPrintTitles="1" createdVersion="7" indent="0" outline="1" outlineData="1" multipleFieldFilters="0" chartFormat="7">
  <location ref="A19:C3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9DC459-D324-4E2B-A41C-B70411DF5E51}" name="PivotTable8" cacheId="53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60:D6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1F282AF-9251-4AE9-8863-CA1DAC8FC3F1}" sourceName="[calls].[Representative]">
  <pivotTables>
    <pivotTable tabId="6" name="monthly trind"/>
    <pivotTable tabId="6" name="week trind"/>
    <pivotTable tabId="6" name="selected rep pivot"/>
    <pivotTable tabId="6" name="Rep pivot"/>
    <pivotTable tabId="6" name="Rep satisfaction"/>
  </pivotTables>
  <data>
    <olap pivotCacheId="123645139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08BEF8A-6466-45D9-BC4E-29818D3F9E8F}" cache="Slicer_Representative" caption="Representative" level="1" style="SlicerStyleDark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9"/>
    <tableColumn id="5" xr3:uid="{5A35565E-8707-4DED-AD15-A0669D67B382}" name="Date of Call" dataDxfId="28"/>
    <tableColumn id="6" xr3:uid="{F2E4F158-B41F-47BC-8DF8-DFCADFEE4E40}" name="Purchase Amount"/>
    <tableColumn id="7" xr3:uid="{04B291B5-47BD-4F78-8FD8-D1551CCA6BD9}" name="Satisfaction Rating"/>
    <tableColumn id="8" xr3:uid="{6E4123C0-0B17-43B8-A142-A1E540CE974C}" name="FY" dataDxfId="27">
      <calculatedColumnFormula>IF(MONTH(calls[[#This Row],[Date of Call]])&lt;=6, YEAR(calls[[#This Row],[Date of Call]]), YEAR(calls[[#This Row],[Date of Call]])+1)</calculatedColumnFormula>
    </tableColumn>
    <tableColumn id="9" xr3:uid="{199FA271-5E9B-46CE-9BC6-2801F92CD17E}" name="Day of week" dataDxfId="26">
      <calculatedColumnFormula>TEXT(calls[[#This Row],[Date of Call]],"DDDD")</calculatedColumnFormula>
    </tableColumn>
    <tableColumn id="10" xr3:uid="{328CDB09-95B8-4D5E-9ED9-EF0D363735A1}" name="Duration Bucket" dataDxfId="2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3" headerRowBorderDxfId="22" tableBorderDxfId="21" totalsRowBorderDxfId="20">
  <autoFilter ref="Q3:T18" xr:uid="{27158F51-A707-4171-8A04-81FB0AABCBA5}"/>
  <tableColumns count="4">
    <tableColumn id="1" xr3:uid="{02688061-6A8C-4E23-B7FF-D00CD8B58CAC}" name="Customer ID" dataDxfId="19"/>
    <tableColumn id="2" xr3:uid="{771678B6-DB44-426B-9874-B4E421A440D5}" name="Gedner" dataDxfId="18"/>
    <tableColumn id="3" xr3:uid="{B0D41C62-587E-494D-B49A-603F2C05F8D3}" name="Age" dataDxfId="17"/>
    <tableColumn id="4" xr3:uid="{663F92D6-FE31-4D81-9E01-8D066DDC8A88}" name="City" dataDxfId="1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D1" zoomScale="85" zoomScaleNormal="115" workbookViewId="0">
      <selection activeCell="T3" sqref="T3"/>
    </sheetView>
  </sheetViews>
  <sheetFormatPr defaultRowHeight="13.8"/>
  <cols>
    <col min="1" max="1" width="3.19921875" customWidth="1"/>
    <col min="2" max="2" width="24" bestFit="1" customWidth="1"/>
    <col min="3" max="3" width="14.59765625" bestFit="1" customWidth="1"/>
    <col min="4" max="4" width="12.19921875" customWidth="1"/>
    <col min="5" max="5" width="19.3984375" bestFit="1" customWidth="1"/>
    <col min="6" max="6" width="16" bestFit="1" customWidth="1"/>
    <col min="7" max="7" width="19.59765625" bestFit="1" customWidth="1"/>
    <col min="8" max="8" width="20.59765625" bestFit="1" customWidth="1"/>
    <col min="9" max="9" width="5.69921875" bestFit="1" customWidth="1"/>
    <col min="10" max="10" width="14.296875" bestFit="1" customWidth="1"/>
    <col min="11" max="11" width="18.09765625" bestFit="1" customWidth="1"/>
    <col min="12" max="12" width="17.5" bestFit="1" customWidth="1"/>
    <col min="13" max="16" width="7.5" customWidth="1"/>
    <col min="17" max="17" width="14.59765625" customWidth="1"/>
    <col min="18" max="18" width="10" bestFit="1" customWidth="1"/>
    <col min="19" max="19" width="6.8984375" bestFit="1" customWidth="1"/>
    <col min="20" max="20" width="9.296875" bestFit="1"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6" sqref="F6"/>
    </sheetView>
  </sheetViews>
  <sheetFormatPr defaultRowHeight="13.8"/>
  <cols>
    <col min="5" max="5" width="10.8984375" customWidth="1"/>
    <col min="6" max="6" width="16.19921875" bestFit="1" customWidth="1"/>
  </cols>
  <sheetData>
    <row r="2" spans="5:6">
      <c r="E2" t="s">
        <v>1040</v>
      </c>
      <c r="F2" t="s">
        <v>1086</v>
      </c>
    </row>
    <row r="3" spans="5:6" ht="50.4" customHeight="1">
      <c r="E3" t="s">
        <v>11</v>
      </c>
      <c r="F3" t="s">
        <v>1087</v>
      </c>
    </row>
    <row r="4" spans="5:6" ht="25.5" customHeight="1">
      <c r="E4" t="s">
        <v>9</v>
      </c>
      <c r="F4" t="s">
        <v>1088</v>
      </c>
    </row>
    <row r="5" spans="5:6" ht="25.5" customHeight="1">
      <c r="E5" t="s">
        <v>6</v>
      </c>
      <c r="F5" t="s">
        <v>1089</v>
      </c>
    </row>
    <row r="6" spans="5:6" ht="25.5" customHeight="1">
      <c r="E6" t="s">
        <v>13</v>
      </c>
      <c r="F6" t="s">
        <v>1090</v>
      </c>
    </row>
    <row r="7" spans="5:6" ht="25.5" customHeight="1">
      <c r="E7" t="s">
        <v>10</v>
      </c>
      <c r="F7" t="s">
        <v>1091</v>
      </c>
    </row>
  </sheetData>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F6E6-652E-4566-8448-3B64CC313EB8}">
  <dimension ref="A3:I115"/>
  <sheetViews>
    <sheetView workbookViewId="0">
      <selection activeCell="U18" sqref="U18"/>
    </sheetView>
  </sheetViews>
  <sheetFormatPr defaultRowHeight="13.8"/>
  <cols>
    <col min="1" max="1" width="13.09765625" bestFit="1" customWidth="1"/>
    <col min="2" max="2" width="9.8984375" bestFit="1" customWidth="1"/>
    <col min="3" max="3" width="13.19921875" bestFit="1" customWidth="1"/>
    <col min="4" max="4" width="10.5" bestFit="1" customWidth="1"/>
    <col min="5" max="5" width="7.8984375" bestFit="1" customWidth="1"/>
    <col min="6" max="6" width="8.8984375" bestFit="1" customWidth="1"/>
    <col min="7" max="7" width="11" bestFit="1" customWidth="1"/>
  </cols>
  <sheetData>
    <row r="3" spans="1:5">
      <c r="A3" t="s">
        <v>1041</v>
      </c>
      <c r="B3" t="s">
        <v>1042</v>
      </c>
      <c r="C3" t="s">
        <v>1043</v>
      </c>
      <c r="D3" t="s">
        <v>1044</v>
      </c>
      <c r="E3" t="s">
        <v>1045</v>
      </c>
    </row>
    <row r="4" spans="1:5">
      <c r="A4" s="21">
        <v>1000</v>
      </c>
      <c r="B4" s="22">
        <v>96623</v>
      </c>
      <c r="C4" s="21">
        <v>89850</v>
      </c>
      <c r="D4" s="23">
        <v>3.8854000000000033</v>
      </c>
      <c r="E4" s="23">
        <v>307</v>
      </c>
    </row>
    <row r="7" spans="1:5">
      <c r="A7" t="s">
        <v>1041</v>
      </c>
      <c r="B7" t="s">
        <v>1042</v>
      </c>
      <c r="C7" t="s">
        <v>1043</v>
      </c>
      <c r="D7" t="s">
        <v>1044</v>
      </c>
      <c r="E7" t="s">
        <v>1045</v>
      </c>
    </row>
    <row r="8" spans="1:5">
      <c r="A8" s="21">
        <v>1000</v>
      </c>
      <c r="B8" s="22">
        <v>96623</v>
      </c>
      <c r="C8" s="21">
        <v>89850</v>
      </c>
      <c r="D8" s="23">
        <v>3.8854000000000033</v>
      </c>
      <c r="E8" s="23">
        <v>307</v>
      </c>
    </row>
    <row r="19" spans="1:3">
      <c r="A19" s="24" t="s">
        <v>1046</v>
      </c>
      <c r="B19" t="s">
        <v>1041</v>
      </c>
      <c r="C19" t="s">
        <v>1060</v>
      </c>
    </row>
    <row r="20" spans="1:3">
      <c r="A20" s="25" t="s">
        <v>1048</v>
      </c>
      <c r="B20" s="21">
        <v>79</v>
      </c>
      <c r="C20" s="21">
        <v>79</v>
      </c>
    </row>
    <row r="21" spans="1:3">
      <c r="A21" s="25" t="s">
        <v>1049</v>
      </c>
      <c r="B21" s="21">
        <v>66</v>
      </c>
      <c r="C21" s="21">
        <v>66</v>
      </c>
    </row>
    <row r="22" spans="1:3">
      <c r="A22" s="25" t="s">
        <v>1050</v>
      </c>
      <c r="B22" s="21">
        <v>155</v>
      </c>
      <c r="C22" s="21">
        <v>155</v>
      </c>
    </row>
    <row r="23" spans="1:3">
      <c r="A23" s="25" t="s">
        <v>1051</v>
      </c>
      <c r="B23" s="21">
        <v>136</v>
      </c>
      <c r="C23" s="21">
        <v>136</v>
      </c>
    </row>
    <row r="24" spans="1:3">
      <c r="A24" s="25" t="s">
        <v>1052</v>
      </c>
      <c r="B24" s="21">
        <v>83</v>
      </c>
      <c r="C24" s="21">
        <v>83</v>
      </c>
    </row>
    <row r="25" spans="1:3">
      <c r="A25" s="25" t="s">
        <v>1053</v>
      </c>
      <c r="B25" s="21">
        <v>67</v>
      </c>
      <c r="C25" s="21">
        <v>67</v>
      </c>
    </row>
    <row r="26" spans="1:3">
      <c r="A26" s="25" t="s">
        <v>1054</v>
      </c>
      <c r="B26" s="21">
        <v>64</v>
      </c>
      <c r="C26" s="21">
        <v>64</v>
      </c>
    </row>
    <row r="27" spans="1:3">
      <c r="A27" s="25" t="s">
        <v>1055</v>
      </c>
      <c r="B27" s="21">
        <v>50</v>
      </c>
      <c r="C27" s="21">
        <v>50</v>
      </c>
    </row>
    <row r="28" spans="1:3">
      <c r="A28" s="25" t="s">
        <v>1056</v>
      </c>
      <c r="B28" s="21">
        <v>76</v>
      </c>
      <c r="C28" s="21">
        <v>76</v>
      </c>
    </row>
    <row r="29" spans="1:3">
      <c r="A29" s="25" t="s">
        <v>1057</v>
      </c>
      <c r="B29" s="21">
        <v>114</v>
      </c>
      <c r="C29" s="21">
        <v>114</v>
      </c>
    </row>
    <row r="30" spans="1:3">
      <c r="A30" s="25" t="s">
        <v>1058</v>
      </c>
      <c r="B30" s="21">
        <v>57</v>
      </c>
      <c r="C30" s="21">
        <v>57</v>
      </c>
    </row>
    <row r="31" spans="1:3">
      <c r="A31" s="25" t="s">
        <v>1059</v>
      </c>
      <c r="B31" s="21">
        <v>53</v>
      </c>
      <c r="C31" s="21">
        <v>53</v>
      </c>
    </row>
    <row r="32" spans="1:3">
      <c r="A32" s="25" t="s">
        <v>1047</v>
      </c>
      <c r="B32" s="21">
        <v>1000</v>
      </c>
      <c r="C32" s="21">
        <v>1000</v>
      </c>
    </row>
    <row r="36" spans="1:9">
      <c r="A36" s="24" t="s">
        <v>1046</v>
      </c>
      <c r="B36" t="s">
        <v>1041</v>
      </c>
    </row>
    <row r="37" spans="1:9">
      <c r="A37" s="25" t="s">
        <v>1064</v>
      </c>
      <c r="B37" s="21">
        <v>146</v>
      </c>
    </row>
    <row r="38" spans="1:9">
      <c r="A38" s="25" t="s">
        <v>1062</v>
      </c>
      <c r="B38" s="21">
        <v>133</v>
      </c>
    </row>
    <row r="39" spans="1:9">
      <c r="A39" s="25" t="s">
        <v>1066</v>
      </c>
      <c r="B39" s="21">
        <v>138</v>
      </c>
    </row>
    <row r="40" spans="1:9">
      <c r="A40" s="25" t="s">
        <v>1067</v>
      </c>
      <c r="B40" s="21">
        <v>153</v>
      </c>
    </row>
    <row r="41" spans="1:9">
      <c r="A41" s="25" t="s">
        <v>1065</v>
      </c>
      <c r="B41" s="21">
        <v>128</v>
      </c>
    </row>
    <row r="42" spans="1:9">
      <c r="A42" s="25" t="s">
        <v>1061</v>
      </c>
      <c r="B42" s="21">
        <v>141</v>
      </c>
    </row>
    <row r="43" spans="1:9">
      <c r="A43" s="25" t="s">
        <v>1063</v>
      </c>
      <c r="B43" s="21">
        <v>161</v>
      </c>
    </row>
    <row r="44" spans="1:9">
      <c r="A44" s="25" t="s">
        <v>1047</v>
      </c>
      <c r="B44" s="21">
        <v>1000</v>
      </c>
    </row>
    <row r="45" spans="1:9">
      <c r="F45" t="s">
        <v>1074</v>
      </c>
      <c r="G45" t="str">
        <f>E57</f>
        <v>R01</v>
      </c>
    </row>
    <row r="46" spans="1:9">
      <c r="E46" t="s">
        <v>1068</v>
      </c>
    </row>
    <row r="47" spans="1:9">
      <c r="A47" s="24" t="s">
        <v>1046</v>
      </c>
      <c r="B47" t="s">
        <v>1041</v>
      </c>
      <c r="C47" t="s">
        <v>1042</v>
      </c>
      <c r="E47" t="s">
        <v>1069</v>
      </c>
      <c r="F47" t="s">
        <v>1070</v>
      </c>
      <c r="G47" t="s">
        <v>1071</v>
      </c>
      <c r="H47" t="s">
        <v>1073</v>
      </c>
      <c r="I47" t="s">
        <v>1072</v>
      </c>
    </row>
    <row r="48" spans="1:9">
      <c r="A48" s="25" t="s">
        <v>11</v>
      </c>
      <c r="B48" s="21">
        <v>189</v>
      </c>
      <c r="C48" s="22">
        <v>18415</v>
      </c>
      <c r="E48" t="str" cm="1">
        <f t="array" ref="E48:G52">A48:C52</f>
        <v>R01</v>
      </c>
      <c r="F48">
        <v>189</v>
      </c>
      <c r="G48" s="26">
        <v>18415</v>
      </c>
      <c r="H48">
        <f>IF(E48=$G$45,F48,NA())</f>
        <v>189</v>
      </c>
      <c r="I48">
        <f>IF(E48=$G$45,G48,NA())</f>
        <v>18415</v>
      </c>
    </row>
    <row r="49" spans="1:9">
      <c r="A49" s="25" t="s">
        <v>9</v>
      </c>
      <c r="B49" s="21">
        <v>218</v>
      </c>
      <c r="C49" s="22">
        <v>20581</v>
      </c>
      <c r="E49" t="str">
        <v>R02</v>
      </c>
      <c r="F49">
        <v>218</v>
      </c>
      <c r="G49" s="26">
        <v>20581</v>
      </c>
      <c r="H49" t="e">
        <f t="shared" ref="H49:H52" si="0">IF(E49=$G$45,F49,NA())</f>
        <v>#N/A</v>
      </c>
      <c r="I49" t="e">
        <f t="shared" ref="I49:I52" si="1">IF(E49=$G$45,G49,NA())</f>
        <v>#N/A</v>
      </c>
    </row>
    <row r="50" spans="1:9">
      <c r="A50" s="25" t="s">
        <v>6</v>
      </c>
      <c r="B50" s="21">
        <v>207</v>
      </c>
      <c r="C50" s="22">
        <v>20872</v>
      </c>
      <c r="E50" t="str">
        <v>R03</v>
      </c>
      <c r="F50">
        <v>207</v>
      </c>
      <c r="G50" s="26">
        <v>20872</v>
      </c>
      <c r="H50" t="e">
        <f t="shared" si="0"/>
        <v>#N/A</v>
      </c>
      <c r="I50" t="e">
        <f t="shared" si="1"/>
        <v>#N/A</v>
      </c>
    </row>
    <row r="51" spans="1:9">
      <c r="A51" s="25" t="s">
        <v>13</v>
      </c>
      <c r="B51" s="21">
        <v>186</v>
      </c>
      <c r="C51" s="22">
        <v>16651</v>
      </c>
      <c r="E51" t="str">
        <v>R04</v>
      </c>
      <c r="F51">
        <v>186</v>
      </c>
      <c r="G51" s="26">
        <v>16651</v>
      </c>
      <c r="H51" t="e">
        <f t="shared" si="0"/>
        <v>#N/A</v>
      </c>
      <c r="I51" t="e">
        <f t="shared" si="1"/>
        <v>#N/A</v>
      </c>
    </row>
    <row r="52" spans="1:9">
      <c r="A52" s="25" t="s">
        <v>10</v>
      </c>
      <c r="B52" s="21">
        <v>200</v>
      </c>
      <c r="C52" s="22">
        <v>20104</v>
      </c>
      <c r="E52" t="str">
        <v>R05</v>
      </c>
      <c r="F52">
        <v>200</v>
      </c>
      <c r="G52" s="26">
        <v>20104</v>
      </c>
      <c r="H52" t="e">
        <f t="shared" si="0"/>
        <v>#N/A</v>
      </c>
      <c r="I52" t="e">
        <f t="shared" si="1"/>
        <v>#N/A</v>
      </c>
    </row>
    <row r="53" spans="1:9">
      <c r="A53" s="25" t="s">
        <v>1047</v>
      </c>
      <c r="B53" s="21">
        <v>1000</v>
      </c>
      <c r="C53" s="22">
        <v>96623</v>
      </c>
    </row>
    <row r="56" spans="1:9">
      <c r="E56" s="24" t="s">
        <v>1046</v>
      </c>
    </row>
    <row r="57" spans="1:9">
      <c r="E57" s="31" t="s">
        <v>11</v>
      </c>
    </row>
    <row r="58" spans="1:9">
      <c r="E58" s="31" t="s">
        <v>9</v>
      </c>
    </row>
    <row r="59" spans="1:9">
      <c r="E59" s="31" t="s">
        <v>6</v>
      </c>
    </row>
    <row r="60" spans="1:9">
      <c r="A60" s="24" t="s">
        <v>1041</v>
      </c>
      <c r="B60" s="24" t="s">
        <v>1075</v>
      </c>
      <c r="E60" s="31" t="s">
        <v>13</v>
      </c>
    </row>
    <row r="61" spans="1:9">
      <c r="A61" s="24" t="s">
        <v>1046</v>
      </c>
      <c r="B61" t="s">
        <v>999</v>
      </c>
      <c r="C61" t="s">
        <v>998</v>
      </c>
      <c r="D61" t="s">
        <v>1047</v>
      </c>
      <c r="E61" s="31" t="s">
        <v>10</v>
      </c>
    </row>
    <row r="62" spans="1:9">
      <c r="A62" s="25" t="s">
        <v>1002</v>
      </c>
      <c r="B62" s="21">
        <v>144</v>
      </c>
      <c r="C62" s="21">
        <v>132</v>
      </c>
      <c r="D62" s="21">
        <v>276</v>
      </c>
    </row>
    <row r="63" spans="1:9">
      <c r="A63" s="25" t="s">
        <v>1001</v>
      </c>
      <c r="B63" s="21">
        <v>326</v>
      </c>
      <c r="C63" s="21">
        <v>63</v>
      </c>
      <c r="D63" s="21">
        <v>389</v>
      </c>
    </row>
    <row r="64" spans="1:9">
      <c r="A64" s="25" t="s">
        <v>1000</v>
      </c>
      <c r="B64" s="21">
        <v>129</v>
      </c>
      <c r="C64" s="21">
        <v>206</v>
      </c>
      <c r="D64" s="21">
        <v>335</v>
      </c>
    </row>
    <row r="65" spans="1:7">
      <c r="A65" s="25" t="s">
        <v>1047</v>
      </c>
      <c r="B65" s="21">
        <v>599</v>
      </c>
      <c r="C65" s="21">
        <v>401</v>
      </c>
      <c r="D65" s="21">
        <v>1000</v>
      </c>
    </row>
    <row r="69" spans="1:7">
      <c r="A69" s="24" t="s">
        <v>1046</v>
      </c>
      <c r="B69" t="s">
        <v>1041</v>
      </c>
    </row>
    <row r="70" spans="1:7">
      <c r="A70" s="25">
        <v>0</v>
      </c>
      <c r="B70" s="21">
        <v>1</v>
      </c>
    </row>
    <row r="71" spans="1:7">
      <c r="A71" s="25">
        <v>1</v>
      </c>
      <c r="B71" s="21">
        <v>8</v>
      </c>
    </row>
    <row r="72" spans="1:7">
      <c r="A72" s="25">
        <v>2</v>
      </c>
      <c r="B72" s="21">
        <v>59</v>
      </c>
    </row>
    <row r="73" spans="1:7">
      <c r="A73" s="25">
        <v>3</v>
      </c>
      <c r="B73" s="21">
        <v>197</v>
      </c>
    </row>
    <row r="74" spans="1:7">
      <c r="A74" s="25">
        <v>4</v>
      </c>
      <c r="B74" s="21">
        <v>428</v>
      </c>
    </row>
    <row r="75" spans="1:7">
      <c r="A75" s="25">
        <v>5</v>
      </c>
      <c r="B75" s="21">
        <v>307</v>
      </c>
    </row>
    <row r="76" spans="1:7">
      <c r="A76" s="25" t="s">
        <v>1047</v>
      </c>
      <c r="B76" s="21">
        <v>1000</v>
      </c>
    </row>
    <row r="78" spans="1:7">
      <c r="A78" s="24" t="s">
        <v>1076</v>
      </c>
      <c r="B78" s="24" t="s">
        <v>1075</v>
      </c>
    </row>
    <row r="79" spans="1:7">
      <c r="A79" s="24" t="s">
        <v>1046</v>
      </c>
      <c r="B79" t="s">
        <v>11</v>
      </c>
      <c r="C79" t="s">
        <v>9</v>
      </c>
      <c r="D79" t="s">
        <v>6</v>
      </c>
      <c r="E79" t="s">
        <v>13</v>
      </c>
      <c r="F79" t="s">
        <v>10</v>
      </c>
      <c r="G79" t="s">
        <v>1047</v>
      </c>
    </row>
    <row r="80" spans="1:7">
      <c r="A80" s="25" t="s">
        <v>1002</v>
      </c>
      <c r="B80" s="28"/>
      <c r="C80" s="28"/>
      <c r="D80" s="28"/>
      <c r="E80" s="28"/>
      <c r="F80" s="28"/>
      <c r="G80" s="28"/>
    </row>
    <row r="81" spans="1:7">
      <c r="A81" s="27" t="s">
        <v>20</v>
      </c>
      <c r="B81" s="28">
        <v>891</v>
      </c>
      <c r="C81" s="28">
        <v>1332</v>
      </c>
      <c r="D81" s="28">
        <v>1282</v>
      </c>
      <c r="E81" s="28">
        <v>739</v>
      </c>
      <c r="F81" s="28">
        <v>560</v>
      </c>
      <c r="G81" s="28">
        <v>4804</v>
      </c>
    </row>
    <row r="82" spans="1:7">
      <c r="A82" s="27" t="s">
        <v>12</v>
      </c>
      <c r="B82" s="28">
        <v>1991</v>
      </c>
      <c r="C82" s="28">
        <v>1886</v>
      </c>
      <c r="D82" s="28">
        <v>1206</v>
      </c>
      <c r="E82" s="28">
        <v>884</v>
      </c>
      <c r="F82" s="28">
        <v>1722</v>
      </c>
      <c r="G82" s="28">
        <v>7689</v>
      </c>
    </row>
    <row r="83" spans="1:7">
      <c r="A83" s="27" t="s">
        <v>8</v>
      </c>
      <c r="B83" s="28">
        <v>1163</v>
      </c>
      <c r="C83" s="28">
        <v>1180</v>
      </c>
      <c r="D83" s="28">
        <v>1616</v>
      </c>
      <c r="E83" s="28">
        <v>1043</v>
      </c>
      <c r="F83" s="28">
        <v>1747</v>
      </c>
      <c r="G83" s="28">
        <v>6749</v>
      </c>
    </row>
    <row r="84" spans="1:7">
      <c r="A84" s="27" t="s">
        <v>16</v>
      </c>
      <c r="B84" s="28">
        <v>1438</v>
      </c>
      <c r="C84" s="28">
        <v>1616</v>
      </c>
      <c r="D84" s="28">
        <v>866</v>
      </c>
      <c r="E84" s="28">
        <v>829</v>
      </c>
      <c r="F84" s="28">
        <v>2070</v>
      </c>
      <c r="G84" s="28">
        <v>6819</v>
      </c>
    </row>
    <row r="85" spans="1:7">
      <c r="A85" s="25" t="s">
        <v>1001</v>
      </c>
      <c r="B85" s="28"/>
      <c r="C85" s="28"/>
      <c r="D85" s="28"/>
      <c r="E85" s="28"/>
      <c r="F85" s="28"/>
      <c r="G85" s="28"/>
    </row>
    <row r="86" spans="1:7">
      <c r="A86" s="27" t="s">
        <v>24</v>
      </c>
      <c r="B86" s="28">
        <v>1233</v>
      </c>
      <c r="C86" s="28">
        <v>223</v>
      </c>
      <c r="D86" s="28">
        <v>1680</v>
      </c>
      <c r="E86" s="28">
        <v>990</v>
      </c>
      <c r="F86" s="28">
        <v>1508</v>
      </c>
      <c r="G86" s="28">
        <v>5634</v>
      </c>
    </row>
    <row r="87" spans="1:7">
      <c r="A87" s="27" t="s">
        <v>15</v>
      </c>
      <c r="B87" s="28">
        <v>1598</v>
      </c>
      <c r="C87" s="28">
        <v>1907</v>
      </c>
      <c r="D87" s="28">
        <v>869</v>
      </c>
      <c r="E87" s="28">
        <v>1426</v>
      </c>
      <c r="F87" s="28">
        <v>1416</v>
      </c>
      <c r="G87" s="28">
        <v>7216</v>
      </c>
    </row>
    <row r="88" spans="1:7">
      <c r="A88" s="27" t="s">
        <v>5</v>
      </c>
      <c r="B88" s="28">
        <v>900</v>
      </c>
      <c r="C88" s="28">
        <v>1016</v>
      </c>
      <c r="D88" s="28">
        <v>960</v>
      </c>
      <c r="E88" s="28">
        <v>940</v>
      </c>
      <c r="F88" s="28">
        <v>1193</v>
      </c>
      <c r="G88" s="28">
        <v>5009</v>
      </c>
    </row>
    <row r="89" spans="1:7">
      <c r="A89" s="27" t="s">
        <v>18</v>
      </c>
      <c r="B89" s="28">
        <v>900</v>
      </c>
      <c r="C89" s="28">
        <v>1470</v>
      </c>
      <c r="D89" s="28">
        <v>1617</v>
      </c>
      <c r="E89" s="28">
        <v>1314</v>
      </c>
      <c r="F89" s="28">
        <v>941</v>
      </c>
      <c r="G89" s="28">
        <v>6242</v>
      </c>
    </row>
    <row r="90" spans="1:7">
      <c r="A90" s="27" t="s">
        <v>14</v>
      </c>
      <c r="B90" s="28">
        <v>1255</v>
      </c>
      <c r="C90" s="28">
        <v>516</v>
      </c>
      <c r="D90" s="28">
        <v>1874</v>
      </c>
      <c r="E90" s="28">
        <v>1863</v>
      </c>
      <c r="F90" s="28">
        <v>1722</v>
      </c>
      <c r="G90" s="28">
        <v>7230</v>
      </c>
    </row>
    <row r="91" spans="1:7">
      <c r="A91" s="27" t="s">
        <v>19</v>
      </c>
      <c r="B91" s="28">
        <v>1138</v>
      </c>
      <c r="C91" s="28">
        <v>1898</v>
      </c>
      <c r="D91" s="28">
        <v>1482</v>
      </c>
      <c r="E91" s="28">
        <v>846</v>
      </c>
      <c r="F91" s="28">
        <v>1154</v>
      </c>
      <c r="G91" s="28">
        <v>6518</v>
      </c>
    </row>
    <row r="92" spans="1:7">
      <c r="A92" s="25" t="s">
        <v>1000</v>
      </c>
      <c r="B92" s="28"/>
      <c r="C92" s="28"/>
      <c r="D92" s="28"/>
      <c r="E92" s="28"/>
      <c r="F92" s="28"/>
      <c r="G92" s="28"/>
    </row>
    <row r="93" spans="1:7">
      <c r="A93" s="27" t="s">
        <v>17</v>
      </c>
      <c r="B93" s="28">
        <v>1655</v>
      </c>
      <c r="C93" s="28">
        <v>805</v>
      </c>
      <c r="D93" s="28">
        <v>2263</v>
      </c>
      <c r="E93" s="28">
        <v>987</v>
      </c>
      <c r="F93" s="28">
        <v>1075</v>
      </c>
      <c r="G93" s="28">
        <v>6785</v>
      </c>
    </row>
    <row r="94" spans="1:7">
      <c r="A94" s="27" t="s">
        <v>23</v>
      </c>
      <c r="B94" s="28">
        <v>1104</v>
      </c>
      <c r="C94" s="28">
        <v>2280</v>
      </c>
      <c r="D94" s="28">
        <v>1445</v>
      </c>
      <c r="E94" s="28">
        <v>1722</v>
      </c>
      <c r="F94" s="28">
        <v>1196</v>
      </c>
      <c r="G94" s="28">
        <v>7747</v>
      </c>
    </row>
    <row r="95" spans="1:7">
      <c r="A95" s="27" t="s">
        <v>7</v>
      </c>
      <c r="B95" s="28">
        <v>372</v>
      </c>
      <c r="C95" s="28">
        <v>1818</v>
      </c>
      <c r="D95" s="28">
        <v>1346</v>
      </c>
      <c r="E95" s="28">
        <v>1156</v>
      </c>
      <c r="F95" s="28">
        <v>1484</v>
      </c>
      <c r="G95" s="28">
        <v>6176</v>
      </c>
    </row>
    <row r="96" spans="1:7">
      <c r="A96" s="27" t="s">
        <v>22</v>
      </c>
      <c r="B96" s="28">
        <v>1415</v>
      </c>
      <c r="C96" s="28">
        <v>1271</v>
      </c>
      <c r="D96" s="28">
        <v>1214</v>
      </c>
      <c r="E96" s="28">
        <v>1135</v>
      </c>
      <c r="F96" s="28">
        <v>1566</v>
      </c>
      <c r="G96" s="28">
        <v>6601</v>
      </c>
    </row>
    <row r="97" spans="1:7">
      <c r="A97" s="27" t="s">
        <v>21</v>
      </c>
      <c r="B97" s="28">
        <v>1362</v>
      </c>
      <c r="C97" s="28">
        <v>1363</v>
      </c>
      <c r="D97" s="28">
        <v>1152</v>
      </c>
      <c r="E97" s="28">
        <v>777</v>
      </c>
      <c r="F97" s="28">
        <v>750</v>
      </c>
      <c r="G97" s="28">
        <v>5404</v>
      </c>
    </row>
    <row r="100" spans="1:7">
      <c r="B100" t="s">
        <v>1078</v>
      </c>
    </row>
    <row r="102" spans="1:7">
      <c r="B102" t="s">
        <v>1079</v>
      </c>
      <c r="C102" s="30">
        <f>A8/A4</f>
        <v>1</v>
      </c>
    </row>
    <row r="103" spans="1:7">
      <c r="B103" t="s">
        <v>1082</v>
      </c>
      <c r="C103">
        <f>_xlfn.XLOOKUP(G45,E48:E52,F48:F52)</f>
        <v>189</v>
      </c>
    </row>
    <row r="104" spans="1:7">
      <c r="B104" t="s">
        <v>1071</v>
      </c>
      <c r="C104" s="26">
        <f>_xlfn.XLOOKUP(G45,E48:E52,G48:G52)</f>
        <v>18415</v>
      </c>
    </row>
    <row r="107" spans="1:7">
      <c r="B107" t="s">
        <v>1080</v>
      </c>
      <c r="C107">
        <f>_xlfn.RANK.AVG(C103,F48:F52)</f>
        <v>4</v>
      </c>
    </row>
    <row r="108" spans="1:7">
      <c r="B108" t="s">
        <v>1081</v>
      </c>
      <c r="C108">
        <f>_xlfn.RANK.AVG(C104,G48:G52)</f>
        <v>4</v>
      </c>
    </row>
    <row r="110" spans="1:7">
      <c r="B110" t="s">
        <v>1083</v>
      </c>
    </row>
    <row r="111" spans="1:7">
      <c r="B111" t="str">
        <f>"% of calls:"&amp;TEXT(C102,"0%")</f>
        <v>% of calls:100%</v>
      </c>
    </row>
    <row r="112" spans="1:7">
      <c r="B112" t="str">
        <f>IF(COUNTA(E57:E61)&gt;1,"","Call Rank:"&amp;C107)</f>
        <v/>
      </c>
    </row>
    <row r="113" spans="2:3">
      <c r="B113" t="str">
        <f>IF(COUNTA(E57:E61)&gt;1,"","Amount Rank:"&amp;C108)</f>
        <v/>
      </c>
    </row>
    <row r="115" spans="2:3">
      <c r="B115" t="s">
        <v>1084</v>
      </c>
      <c r="C115" t="str">
        <f>IF(COUNTA(E57:E61)&gt;1,"",_xlfn.XLOOKUP(E57,Assets!E3:E7,Assets!F3:F7))</f>
        <v/>
      </c>
    </row>
  </sheetData>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130D9-6FB3-4CF1-98B2-64E6C4CF9DC4}">
  <dimension ref="A1:X42"/>
  <sheetViews>
    <sheetView tabSelected="1" zoomScale="90" zoomScaleNormal="90" workbookViewId="0">
      <selection activeCell="L38" sqref="L38"/>
    </sheetView>
  </sheetViews>
  <sheetFormatPr defaultRowHeight="13.8"/>
  <cols>
    <col min="1" max="1" width="2.69921875" customWidth="1"/>
    <col min="2" max="2" width="2.796875" customWidth="1"/>
    <col min="13" max="13" width="8.59765625" customWidth="1"/>
    <col min="14" max="14" width="2.69921875" customWidth="1"/>
    <col min="15" max="15" width="10.8984375" bestFit="1" customWidth="1"/>
    <col min="16" max="16" width="10.3984375" bestFit="1" customWidth="1"/>
    <col min="17" max="22" width="11.19921875" bestFit="1" customWidth="1"/>
  </cols>
  <sheetData>
    <row r="1" spans="1:24" ht="34.200000000000003" customHeight="1">
      <c r="A1" s="42" t="s">
        <v>1085</v>
      </c>
      <c r="B1" s="43"/>
      <c r="C1" s="43"/>
      <c r="D1" s="43"/>
      <c r="E1" s="43"/>
      <c r="F1" s="43"/>
      <c r="G1" s="43"/>
      <c r="H1" s="43"/>
      <c r="I1" s="43"/>
      <c r="J1" s="43"/>
      <c r="K1" s="43"/>
      <c r="L1" s="43"/>
      <c r="M1" s="43"/>
      <c r="N1" s="43"/>
      <c r="O1" s="43"/>
      <c r="P1" s="43"/>
      <c r="Q1" s="43"/>
      <c r="R1" s="43"/>
      <c r="S1" s="43"/>
      <c r="T1" s="43"/>
      <c r="U1" s="43"/>
      <c r="V1" s="43"/>
      <c r="W1" s="43"/>
      <c r="X1" s="43"/>
    </row>
    <row r="2" spans="1:24">
      <c r="A2" s="20"/>
      <c r="B2" s="20"/>
      <c r="C2" s="20"/>
      <c r="D2" s="20"/>
      <c r="E2" s="20"/>
      <c r="F2" s="20"/>
      <c r="G2" s="20"/>
      <c r="H2" s="20"/>
      <c r="I2" s="20"/>
      <c r="J2" s="20"/>
      <c r="K2" s="20"/>
      <c r="L2" s="20"/>
      <c r="M2" s="40"/>
      <c r="N2" s="20"/>
      <c r="O2" s="20"/>
      <c r="P2" s="20"/>
      <c r="Q2" s="20"/>
      <c r="R2" s="20"/>
      <c r="S2" s="20"/>
      <c r="T2" s="20"/>
      <c r="U2" s="20"/>
      <c r="V2" s="20"/>
      <c r="W2" s="20"/>
      <c r="X2" s="20"/>
    </row>
    <row r="3" spans="1:24">
      <c r="A3" s="20"/>
      <c r="B3" s="20"/>
      <c r="C3" s="20"/>
      <c r="D3" s="20"/>
      <c r="E3" s="20"/>
      <c r="F3" s="20"/>
      <c r="G3" s="20"/>
      <c r="H3" s="20"/>
      <c r="I3" s="20"/>
      <c r="J3" s="20"/>
      <c r="K3" s="20"/>
      <c r="L3" s="20"/>
      <c r="M3" s="40"/>
      <c r="N3" s="20"/>
      <c r="O3" s="20"/>
      <c r="P3" s="20"/>
      <c r="Q3" s="20"/>
      <c r="R3" s="20"/>
      <c r="S3" s="20"/>
      <c r="T3" s="20"/>
      <c r="U3" s="20"/>
      <c r="V3" s="20"/>
      <c r="W3" s="20"/>
      <c r="X3" s="20"/>
    </row>
    <row r="4" spans="1:24">
      <c r="A4" s="20"/>
      <c r="B4" s="20"/>
      <c r="C4" s="20"/>
      <c r="D4" s="20"/>
      <c r="E4" s="20"/>
      <c r="F4" s="20"/>
      <c r="G4" s="20"/>
      <c r="H4" s="20"/>
      <c r="I4" s="20"/>
      <c r="J4" s="20"/>
      <c r="K4" s="20"/>
      <c r="L4" s="20"/>
      <c r="M4" s="40"/>
      <c r="N4" s="20"/>
      <c r="O4" s="20"/>
      <c r="P4" s="20"/>
      <c r="Q4" s="20"/>
      <c r="R4" s="20"/>
      <c r="S4" s="20"/>
      <c r="T4" s="20"/>
      <c r="U4" s="20"/>
      <c r="V4" s="20"/>
      <c r="W4" s="20"/>
      <c r="X4" s="20"/>
    </row>
    <row r="5" spans="1:24">
      <c r="A5" s="20"/>
      <c r="B5" s="20"/>
      <c r="C5" s="20"/>
      <c r="D5" s="20"/>
      <c r="E5" s="20"/>
      <c r="F5" s="20"/>
      <c r="G5" s="20"/>
      <c r="H5" s="20"/>
      <c r="I5" s="20"/>
      <c r="J5" s="20"/>
      <c r="K5" s="20"/>
      <c r="L5" s="20"/>
      <c r="M5" s="40"/>
      <c r="N5" s="20"/>
      <c r="O5" s="20"/>
      <c r="P5" s="20"/>
      <c r="Q5" s="20"/>
      <c r="R5" s="20"/>
      <c r="S5" s="20"/>
      <c r="T5" s="20"/>
      <c r="U5" s="20"/>
      <c r="V5" s="20"/>
      <c r="W5" s="20"/>
      <c r="X5" s="20"/>
    </row>
    <row r="6" spans="1:24">
      <c r="A6" s="20"/>
      <c r="B6" s="20"/>
      <c r="C6" s="20"/>
      <c r="D6" s="20"/>
      <c r="E6" s="20"/>
      <c r="F6" s="20"/>
      <c r="G6" s="20"/>
      <c r="H6" s="20"/>
      <c r="I6" s="20"/>
      <c r="J6" s="20"/>
      <c r="K6" s="20"/>
      <c r="L6" s="20"/>
      <c r="M6" s="40"/>
      <c r="N6" s="20"/>
      <c r="O6" s="20"/>
      <c r="P6" s="20"/>
      <c r="Q6" s="20"/>
      <c r="R6" s="20"/>
      <c r="S6" s="20"/>
      <c r="T6" s="20"/>
      <c r="U6" s="20"/>
      <c r="V6" s="20"/>
      <c r="W6" s="20"/>
      <c r="X6" s="20"/>
    </row>
    <row r="7" spans="1:24">
      <c r="A7" s="20"/>
      <c r="B7" s="20"/>
      <c r="C7" s="20"/>
      <c r="D7" s="20"/>
      <c r="E7" s="20"/>
      <c r="F7" s="20"/>
      <c r="G7" s="20"/>
      <c r="H7" s="20"/>
      <c r="I7" s="20"/>
      <c r="J7" s="20"/>
      <c r="K7" s="20"/>
      <c r="L7" s="20"/>
      <c r="M7" s="40"/>
      <c r="N7" s="20"/>
      <c r="O7" s="20"/>
      <c r="P7" s="20"/>
      <c r="Q7" s="20"/>
      <c r="R7" s="20"/>
      <c r="S7" s="20"/>
      <c r="T7" s="20"/>
      <c r="U7" s="20"/>
      <c r="V7" s="20"/>
      <c r="W7" s="20"/>
      <c r="X7" s="20"/>
    </row>
    <row r="8" spans="1:24">
      <c r="A8" s="20"/>
      <c r="B8" s="20"/>
      <c r="C8" s="20"/>
      <c r="D8" s="20"/>
      <c r="E8" s="20"/>
      <c r="F8" s="20"/>
      <c r="G8" s="20"/>
      <c r="H8" s="20"/>
      <c r="I8" s="20"/>
      <c r="J8" s="20"/>
      <c r="K8" s="20"/>
      <c r="L8" s="20"/>
      <c r="M8" s="40"/>
      <c r="N8" s="20"/>
      <c r="O8" s="20"/>
      <c r="P8" s="20"/>
      <c r="Q8" s="20"/>
      <c r="R8" s="20"/>
      <c r="S8" s="20"/>
      <c r="T8" s="20"/>
      <c r="U8" s="20"/>
      <c r="V8" s="20"/>
      <c r="W8" s="20"/>
      <c r="X8" s="20"/>
    </row>
    <row r="9" spans="1:24">
      <c r="A9" s="20"/>
      <c r="B9" s="20"/>
      <c r="C9" s="20"/>
      <c r="D9" s="20"/>
      <c r="E9" s="20"/>
      <c r="F9" s="20"/>
      <c r="G9" s="20"/>
      <c r="H9" s="20"/>
      <c r="I9" s="20"/>
      <c r="J9" s="20"/>
      <c r="K9" s="20"/>
      <c r="L9" s="20"/>
      <c r="M9" s="40"/>
      <c r="N9" s="20"/>
      <c r="O9" s="20"/>
      <c r="P9" s="20"/>
      <c r="Q9" s="20"/>
      <c r="R9" s="20"/>
      <c r="S9" s="20"/>
      <c r="T9" s="20"/>
      <c r="U9" s="20"/>
      <c r="V9" s="20"/>
      <c r="W9" s="20"/>
      <c r="X9" s="20"/>
    </row>
    <row r="10" spans="1:24">
      <c r="A10" s="20"/>
      <c r="B10" s="20"/>
      <c r="C10" s="20"/>
      <c r="D10" s="20"/>
      <c r="E10" s="20"/>
      <c r="F10" s="20"/>
      <c r="G10" s="20"/>
      <c r="H10" s="20"/>
      <c r="I10" s="20"/>
      <c r="J10" s="20"/>
      <c r="K10" s="20"/>
      <c r="L10" s="20"/>
      <c r="M10" s="40"/>
      <c r="N10" s="20"/>
      <c r="O10" s="20"/>
      <c r="P10" s="20"/>
      <c r="Q10" s="20"/>
      <c r="R10" s="20"/>
      <c r="S10" s="20"/>
      <c r="T10" s="20"/>
      <c r="U10" s="20"/>
      <c r="V10" s="20"/>
      <c r="W10" s="20"/>
      <c r="X10" s="20"/>
    </row>
    <row r="11" spans="1:24">
      <c r="A11" s="20"/>
      <c r="B11" s="20"/>
      <c r="C11" s="20"/>
      <c r="D11" s="20"/>
      <c r="E11" s="20"/>
      <c r="F11" s="20"/>
      <c r="G11" s="20"/>
      <c r="H11" s="20"/>
      <c r="I11" s="20"/>
      <c r="J11" s="20"/>
      <c r="K11" s="20"/>
      <c r="L11" s="20"/>
      <c r="M11" s="40"/>
      <c r="N11" s="20"/>
      <c r="O11" s="20"/>
      <c r="P11" s="20"/>
      <c r="Q11" s="20"/>
      <c r="R11" s="20"/>
      <c r="S11" s="20"/>
      <c r="T11" s="20"/>
      <c r="U11" s="20"/>
      <c r="V11" s="20"/>
      <c r="W11" s="20"/>
      <c r="X11" s="20"/>
    </row>
    <row r="12" spans="1:24">
      <c r="A12" s="20"/>
      <c r="B12" s="20"/>
      <c r="C12" s="20"/>
      <c r="D12" s="20"/>
      <c r="E12" s="20"/>
      <c r="F12" s="20"/>
      <c r="G12" s="20"/>
      <c r="H12" s="20"/>
      <c r="I12" s="20"/>
      <c r="J12" s="20"/>
      <c r="K12" s="20"/>
      <c r="L12" s="20"/>
      <c r="M12" s="40"/>
      <c r="N12" s="20"/>
      <c r="O12" s="20"/>
      <c r="P12" s="20"/>
      <c r="Q12" s="20"/>
      <c r="R12" s="20"/>
      <c r="S12" s="20"/>
      <c r="T12" s="20"/>
      <c r="U12" s="20"/>
      <c r="V12" s="20"/>
      <c r="W12" s="20"/>
      <c r="X12" s="20"/>
    </row>
    <row r="13" spans="1:24">
      <c r="A13" s="20"/>
      <c r="B13" s="20"/>
      <c r="C13" s="20"/>
      <c r="D13" s="20"/>
      <c r="E13" s="20"/>
      <c r="F13" s="20"/>
      <c r="G13" s="20"/>
      <c r="H13" s="20"/>
      <c r="I13" s="20"/>
      <c r="J13" s="20"/>
      <c r="K13" s="20"/>
      <c r="L13" s="20"/>
      <c r="M13" s="40"/>
      <c r="N13" s="20"/>
      <c r="O13" s="20"/>
      <c r="P13" s="20"/>
      <c r="Q13" s="20"/>
      <c r="R13" s="20"/>
      <c r="S13" s="20"/>
      <c r="T13" s="20"/>
      <c r="U13" s="20"/>
      <c r="V13" s="20"/>
      <c r="W13" s="20"/>
      <c r="X13" s="20"/>
    </row>
    <row r="14" spans="1:24">
      <c r="A14" s="20"/>
      <c r="B14" s="20"/>
      <c r="C14" s="20"/>
      <c r="D14" s="20"/>
      <c r="E14" s="20"/>
      <c r="F14" s="20"/>
      <c r="G14" s="20"/>
      <c r="H14" s="20"/>
      <c r="I14" s="20"/>
      <c r="J14" s="20"/>
      <c r="K14" s="20"/>
      <c r="L14" s="20"/>
      <c r="M14" s="40"/>
      <c r="N14" s="20"/>
      <c r="O14" s="20"/>
      <c r="P14" s="20"/>
      <c r="Q14" s="20"/>
      <c r="R14" s="20"/>
      <c r="S14" s="20"/>
      <c r="T14" s="20"/>
      <c r="U14" s="20"/>
      <c r="V14" s="20"/>
      <c r="W14" s="20"/>
      <c r="X14" s="20"/>
    </row>
    <row r="15" spans="1:24">
      <c r="A15" s="20"/>
      <c r="B15" s="20"/>
      <c r="C15" s="20"/>
      <c r="D15" s="20"/>
      <c r="E15" s="20"/>
      <c r="F15" s="20"/>
      <c r="G15" s="20"/>
      <c r="H15" s="20"/>
      <c r="I15" s="20"/>
      <c r="J15" s="20"/>
      <c r="K15" s="20"/>
      <c r="L15" s="20"/>
      <c r="M15" s="40"/>
      <c r="N15" s="20"/>
      <c r="O15" s="20"/>
      <c r="P15" s="20"/>
      <c r="Q15" s="20"/>
      <c r="R15" s="20"/>
      <c r="S15" s="20"/>
      <c r="T15" s="20"/>
      <c r="U15" s="20"/>
      <c r="V15" s="20"/>
      <c r="W15" s="20"/>
      <c r="X15" s="20"/>
    </row>
    <row r="16" spans="1:24">
      <c r="A16" s="20"/>
      <c r="B16" s="20"/>
      <c r="C16" s="20"/>
      <c r="D16" s="20"/>
      <c r="E16" s="20"/>
      <c r="F16" s="20"/>
      <c r="G16" s="20"/>
      <c r="H16" s="20"/>
      <c r="I16" s="20"/>
      <c r="J16" s="20"/>
      <c r="K16" s="20"/>
      <c r="L16" s="20"/>
      <c r="M16" s="40"/>
      <c r="N16" s="20"/>
      <c r="O16" s="20"/>
      <c r="P16" s="20"/>
      <c r="Q16" s="20"/>
      <c r="R16" s="20"/>
      <c r="S16" s="20"/>
      <c r="T16" s="20"/>
      <c r="U16" s="20"/>
      <c r="V16" s="20"/>
      <c r="W16" s="20"/>
      <c r="X16" s="20"/>
    </row>
    <row r="17" spans="1:24">
      <c r="A17" s="20"/>
      <c r="B17" s="20"/>
      <c r="C17" s="20"/>
      <c r="D17" s="20"/>
      <c r="E17" s="20"/>
      <c r="F17" s="20"/>
      <c r="G17" s="20"/>
      <c r="H17" s="20"/>
      <c r="I17" s="20"/>
      <c r="J17" s="20"/>
      <c r="K17" s="20"/>
      <c r="L17" s="20"/>
      <c r="M17" s="40"/>
      <c r="N17" s="20"/>
      <c r="O17" s="20"/>
      <c r="P17" s="20"/>
      <c r="Q17" s="20"/>
      <c r="R17" s="20"/>
      <c r="S17" s="20"/>
      <c r="T17" s="20"/>
      <c r="U17" s="20"/>
      <c r="V17" s="20"/>
      <c r="W17" s="20"/>
      <c r="X17" s="20"/>
    </row>
    <row r="18" spans="1:24" ht="15.6">
      <c r="A18" s="20"/>
      <c r="B18" s="20"/>
      <c r="C18" s="20"/>
      <c r="D18" s="20"/>
      <c r="E18" s="20"/>
      <c r="F18" s="20"/>
      <c r="G18" s="20"/>
      <c r="H18" s="20"/>
      <c r="I18" s="20"/>
      <c r="J18" s="20"/>
      <c r="K18" s="20"/>
      <c r="L18" s="20"/>
      <c r="M18" s="40"/>
      <c r="N18" s="20"/>
      <c r="O18" s="32"/>
      <c r="P18" s="33" t="s">
        <v>11</v>
      </c>
      <c r="Q18" s="33" t="s">
        <v>9</v>
      </c>
      <c r="R18" s="33" t="s">
        <v>6</v>
      </c>
      <c r="S18" s="33" t="s">
        <v>13</v>
      </c>
      <c r="T18" s="33" t="s">
        <v>10</v>
      </c>
      <c r="U18" s="29" t="s">
        <v>1077</v>
      </c>
      <c r="V18" s="20"/>
      <c r="W18" s="20"/>
      <c r="X18" s="20"/>
    </row>
    <row r="19" spans="1:24" ht="15.6">
      <c r="A19" s="20"/>
      <c r="B19" s="20"/>
      <c r="C19" s="20"/>
      <c r="D19" s="20"/>
      <c r="E19" s="20"/>
      <c r="F19" s="20"/>
      <c r="G19" s="20"/>
      <c r="H19" s="20"/>
      <c r="I19" s="20"/>
      <c r="J19" s="20"/>
      <c r="K19" s="20"/>
      <c r="L19" s="20"/>
      <c r="M19" s="40"/>
      <c r="N19" s="20"/>
      <c r="O19" s="29" t="str" cm="1">
        <f t="array" ref="O19:U36">IF(Pivots!A80:G97="","",Pivots!A80:G97)</f>
        <v>Cincinnati</v>
      </c>
      <c r="P19" s="34" t="str">
        <v/>
      </c>
      <c r="Q19" s="34" t="str">
        <v/>
      </c>
      <c r="R19" s="34" t="str">
        <v/>
      </c>
      <c r="S19" s="34" t="str">
        <v/>
      </c>
      <c r="T19" s="34" t="str">
        <v/>
      </c>
      <c r="U19" s="32" t="str">
        <v/>
      </c>
      <c r="V19" s="20"/>
      <c r="W19" s="20"/>
      <c r="X19" s="20"/>
    </row>
    <row r="20" spans="1:24" ht="15">
      <c r="A20" s="20"/>
      <c r="B20" s="20"/>
      <c r="C20" s="20"/>
      <c r="D20" s="20"/>
      <c r="E20" s="20"/>
      <c r="F20" s="20"/>
      <c r="G20" s="20"/>
      <c r="H20" s="20"/>
      <c r="I20" s="20"/>
      <c r="J20" s="20"/>
      <c r="K20" s="20"/>
      <c r="L20" s="20"/>
      <c r="M20" s="40"/>
      <c r="N20" s="20"/>
      <c r="O20" s="35" t="str">
        <v>C0003</v>
      </c>
      <c r="P20" s="36">
        <v>891</v>
      </c>
      <c r="Q20" s="36">
        <v>1332</v>
      </c>
      <c r="R20" s="36">
        <v>1282</v>
      </c>
      <c r="S20" s="36">
        <v>739</v>
      </c>
      <c r="T20" s="36">
        <v>560</v>
      </c>
      <c r="U20" s="37">
        <v>4804</v>
      </c>
      <c r="V20" s="20"/>
      <c r="W20" s="20"/>
      <c r="X20" s="20"/>
    </row>
    <row r="21" spans="1:24" ht="15">
      <c r="A21" s="20"/>
      <c r="B21" s="20"/>
      <c r="C21" s="20"/>
      <c r="D21" s="20"/>
      <c r="E21" s="20"/>
      <c r="F21" s="20"/>
      <c r="G21" s="20"/>
      <c r="H21" s="20"/>
      <c r="I21" s="20"/>
      <c r="J21" s="20"/>
      <c r="K21" s="20"/>
      <c r="L21" s="20"/>
      <c r="M21" s="40"/>
      <c r="N21" s="20"/>
      <c r="O21" s="35" t="str">
        <v>C0004</v>
      </c>
      <c r="P21" s="36">
        <v>1991</v>
      </c>
      <c r="Q21" s="36">
        <v>1886</v>
      </c>
      <c r="R21" s="36">
        <v>1206</v>
      </c>
      <c r="S21" s="36">
        <v>884</v>
      </c>
      <c r="T21" s="36">
        <v>1722</v>
      </c>
      <c r="U21" s="37">
        <v>7689</v>
      </c>
      <c r="V21" s="20"/>
      <c r="W21" s="20"/>
      <c r="X21" s="20"/>
    </row>
    <row r="22" spans="1:24" ht="15">
      <c r="A22" s="20"/>
      <c r="B22" s="20"/>
      <c r="C22" s="20"/>
      <c r="D22" s="20"/>
      <c r="E22" s="20"/>
      <c r="F22" s="20"/>
      <c r="G22" s="20"/>
      <c r="H22" s="20"/>
      <c r="I22" s="20"/>
      <c r="J22" s="20"/>
      <c r="K22" s="20"/>
      <c r="L22" s="20"/>
      <c r="M22" s="40"/>
      <c r="N22" s="20"/>
      <c r="O22" s="35" t="str">
        <v>C0011</v>
      </c>
      <c r="P22" s="36">
        <v>1163</v>
      </c>
      <c r="Q22" s="36">
        <v>1180</v>
      </c>
      <c r="R22" s="36">
        <v>1616</v>
      </c>
      <c r="S22" s="36">
        <v>1043</v>
      </c>
      <c r="T22" s="36">
        <v>1747</v>
      </c>
      <c r="U22" s="37">
        <v>6749</v>
      </c>
      <c r="V22" s="20"/>
      <c r="W22" s="20"/>
      <c r="X22" s="20"/>
    </row>
    <row r="23" spans="1:24" ht="15">
      <c r="A23" s="20"/>
      <c r="B23" s="20"/>
      <c r="C23" s="20"/>
      <c r="D23" s="20"/>
      <c r="E23" s="20"/>
      <c r="F23" s="20"/>
      <c r="G23" s="20"/>
      <c r="H23" s="20"/>
      <c r="I23" s="20"/>
      <c r="J23" s="20"/>
      <c r="K23" s="20"/>
      <c r="L23" s="20"/>
      <c r="M23" s="40"/>
      <c r="N23" s="20"/>
      <c r="O23" s="35" t="str">
        <v>C0012</v>
      </c>
      <c r="P23" s="36">
        <v>1438</v>
      </c>
      <c r="Q23" s="36">
        <v>1616</v>
      </c>
      <c r="R23" s="36">
        <v>866</v>
      </c>
      <c r="S23" s="36">
        <v>829</v>
      </c>
      <c r="T23" s="36">
        <v>2070</v>
      </c>
      <c r="U23" s="37">
        <v>6819</v>
      </c>
      <c r="V23" s="20"/>
      <c r="W23" s="20"/>
      <c r="X23" s="20"/>
    </row>
    <row r="24" spans="1:24" ht="15.6">
      <c r="A24" s="20"/>
      <c r="B24" s="20"/>
      <c r="C24" s="20"/>
      <c r="D24" s="20"/>
      <c r="E24" s="20"/>
      <c r="F24" s="20"/>
      <c r="G24" s="20"/>
      <c r="H24" s="20"/>
      <c r="I24" s="20"/>
      <c r="J24" s="20"/>
      <c r="K24" s="20"/>
      <c r="L24" s="20"/>
      <c r="M24" s="40"/>
      <c r="N24" s="20"/>
      <c r="O24" s="29" t="str">
        <v>Cleveland</v>
      </c>
      <c r="P24" s="36" t="str">
        <v/>
      </c>
      <c r="Q24" s="36" t="str">
        <v/>
      </c>
      <c r="R24" s="36" t="str">
        <v/>
      </c>
      <c r="S24" s="36" t="str">
        <v/>
      </c>
      <c r="T24" s="36" t="str">
        <v/>
      </c>
      <c r="U24" s="37" t="str">
        <v/>
      </c>
      <c r="V24" s="20"/>
      <c r="W24" s="20"/>
      <c r="X24" s="20"/>
    </row>
    <row r="25" spans="1:24" ht="15">
      <c r="A25" s="20"/>
      <c r="B25" s="20"/>
      <c r="C25" s="20"/>
      <c r="D25" s="20"/>
      <c r="E25" s="20"/>
      <c r="F25" s="20"/>
      <c r="G25" s="20"/>
      <c r="H25" s="20"/>
      <c r="I25" s="20"/>
      <c r="J25" s="20"/>
      <c r="K25" s="20"/>
      <c r="L25" s="20"/>
      <c r="M25" s="40"/>
      <c r="N25" s="20"/>
      <c r="O25" s="35" t="str">
        <v>C0002</v>
      </c>
      <c r="P25" s="36">
        <v>1233</v>
      </c>
      <c r="Q25" s="36">
        <v>223</v>
      </c>
      <c r="R25" s="36">
        <v>1680</v>
      </c>
      <c r="S25" s="36">
        <v>990</v>
      </c>
      <c r="T25" s="36">
        <v>1508</v>
      </c>
      <c r="U25" s="37">
        <v>5634</v>
      </c>
      <c r="V25" s="20"/>
      <c r="W25" s="20"/>
      <c r="X25" s="20"/>
    </row>
    <row r="26" spans="1:24" ht="15">
      <c r="A26" s="20"/>
      <c r="B26" s="20"/>
      <c r="C26" s="20"/>
      <c r="D26" s="20"/>
      <c r="E26" s="20"/>
      <c r="F26" s="20"/>
      <c r="G26" s="20"/>
      <c r="H26" s="20"/>
      <c r="I26" s="20"/>
      <c r="J26" s="20"/>
      <c r="K26" s="20"/>
      <c r="L26" s="20"/>
      <c r="M26" s="40"/>
      <c r="N26" s="20"/>
      <c r="O26" s="35" t="str">
        <v>C0007</v>
      </c>
      <c r="P26" s="36">
        <v>1598</v>
      </c>
      <c r="Q26" s="36">
        <v>1907</v>
      </c>
      <c r="R26" s="36">
        <v>869</v>
      </c>
      <c r="S26" s="36">
        <v>1426</v>
      </c>
      <c r="T26" s="36">
        <v>1416</v>
      </c>
      <c r="U26" s="37">
        <v>7216</v>
      </c>
      <c r="V26" s="20"/>
      <c r="W26" s="20"/>
      <c r="X26" s="20"/>
    </row>
    <row r="27" spans="1:24" ht="15">
      <c r="A27" s="20"/>
      <c r="B27" s="20"/>
      <c r="C27" s="20"/>
      <c r="D27" s="20"/>
      <c r="E27" s="20"/>
      <c r="F27" s="20"/>
      <c r="G27" s="20"/>
      <c r="H27" s="20"/>
      <c r="I27" s="20"/>
      <c r="J27" s="20"/>
      <c r="K27" s="20"/>
      <c r="L27" s="44"/>
      <c r="M27" s="44"/>
      <c r="N27" s="44"/>
      <c r="O27" s="35" t="str">
        <v>C0008</v>
      </c>
      <c r="P27" s="36">
        <v>900</v>
      </c>
      <c r="Q27" s="36">
        <v>1016</v>
      </c>
      <c r="R27" s="36">
        <v>960</v>
      </c>
      <c r="S27" s="36">
        <v>940</v>
      </c>
      <c r="T27" s="36">
        <v>1193</v>
      </c>
      <c r="U27" s="37">
        <v>5009</v>
      </c>
      <c r="V27" s="20"/>
      <c r="W27" s="20"/>
      <c r="X27" s="20"/>
    </row>
    <row r="28" spans="1:24" ht="15" customHeight="1">
      <c r="A28" s="20"/>
      <c r="B28" s="20"/>
      <c r="C28" s="20"/>
      <c r="D28" s="20"/>
      <c r="E28" s="20"/>
      <c r="F28" s="20"/>
      <c r="G28" s="20"/>
      <c r="H28" s="20"/>
      <c r="I28" s="20"/>
      <c r="J28" s="20"/>
      <c r="K28" s="20"/>
      <c r="L28" s="46" t="str">
        <f>Pivots!C115</f>
        <v/>
      </c>
      <c r="M28" s="46"/>
      <c r="N28" s="40"/>
      <c r="O28" s="35" t="str">
        <v>C0010</v>
      </c>
      <c r="P28" s="36">
        <v>900</v>
      </c>
      <c r="Q28" s="36">
        <v>1470</v>
      </c>
      <c r="R28" s="36">
        <v>1617</v>
      </c>
      <c r="S28" s="36">
        <v>1314</v>
      </c>
      <c r="T28" s="36">
        <v>941</v>
      </c>
      <c r="U28" s="37">
        <v>6242</v>
      </c>
      <c r="V28" s="20"/>
      <c r="W28" s="20"/>
      <c r="X28" s="20"/>
    </row>
    <row r="29" spans="1:24" ht="15" customHeight="1">
      <c r="A29" s="20"/>
      <c r="B29" s="20"/>
      <c r="C29" s="20"/>
      <c r="D29" s="20"/>
      <c r="E29" s="20"/>
      <c r="F29" s="20"/>
      <c r="G29" s="20"/>
      <c r="H29" s="20"/>
      <c r="I29" s="20"/>
      <c r="J29" s="20"/>
      <c r="K29" s="20"/>
      <c r="L29" s="46"/>
      <c r="M29" s="46"/>
      <c r="N29" s="40"/>
      <c r="O29" s="35" t="str">
        <v>C0013</v>
      </c>
      <c r="P29" s="36">
        <v>1255</v>
      </c>
      <c r="Q29" s="36">
        <v>516</v>
      </c>
      <c r="R29" s="36">
        <v>1874</v>
      </c>
      <c r="S29" s="36">
        <v>1863</v>
      </c>
      <c r="T29" s="36">
        <v>1722</v>
      </c>
      <c r="U29" s="37">
        <v>7230</v>
      </c>
      <c r="V29" s="20"/>
      <c r="W29" s="20"/>
      <c r="X29" s="20"/>
    </row>
    <row r="30" spans="1:24" ht="15" customHeight="1">
      <c r="A30" s="20"/>
      <c r="B30" s="20"/>
      <c r="C30" s="20"/>
      <c r="D30" s="20"/>
      <c r="E30" s="20"/>
      <c r="F30" s="20"/>
      <c r="G30" s="20"/>
      <c r="H30" s="20"/>
      <c r="I30" s="20"/>
      <c r="J30" s="20"/>
      <c r="K30" s="20"/>
      <c r="L30" s="46"/>
      <c r="M30" s="46"/>
      <c r="N30" s="40"/>
      <c r="O30" s="35" t="str">
        <v>C0015</v>
      </c>
      <c r="P30" s="36">
        <v>1138</v>
      </c>
      <c r="Q30" s="36">
        <v>1898</v>
      </c>
      <c r="R30" s="36">
        <v>1482</v>
      </c>
      <c r="S30" s="36">
        <v>846</v>
      </c>
      <c r="T30" s="36">
        <v>1154</v>
      </c>
      <c r="U30" s="37">
        <v>6518</v>
      </c>
      <c r="V30" s="20"/>
      <c r="W30" s="20"/>
      <c r="X30" s="20"/>
    </row>
    <row r="31" spans="1:24" ht="15.6" customHeight="1">
      <c r="A31" s="20"/>
      <c r="B31" s="20"/>
      <c r="C31" s="20"/>
      <c r="D31" s="20"/>
      <c r="E31" s="20"/>
      <c r="F31" s="20"/>
      <c r="G31" s="20"/>
      <c r="H31" s="20"/>
      <c r="I31" s="20"/>
      <c r="J31" s="20"/>
      <c r="K31" s="20"/>
      <c r="L31" s="46"/>
      <c r="M31" s="46"/>
      <c r="N31" s="40"/>
      <c r="O31" s="29" t="str">
        <v>Columbus</v>
      </c>
      <c r="P31" s="36" t="str">
        <v/>
      </c>
      <c r="Q31" s="36" t="str">
        <v/>
      </c>
      <c r="R31" s="36" t="str">
        <v/>
      </c>
      <c r="S31" s="36" t="str">
        <v/>
      </c>
      <c r="T31" s="36" t="str">
        <v/>
      </c>
      <c r="U31" s="37" t="str">
        <v/>
      </c>
      <c r="V31" s="20"/>
      <c r="W31" s="20"/>
      <c r="X31" s="20"/>
    </row>
    <row r="32" spans="1:24" ht="15">
      <c r="A32" s="20"/>
      <c r="B32" s="20"/>
      <c r="C32" s="20"/>
      <c r="D32" s="20"/>
      <c r="E32" s="20"/>
      <c r="F32" s="20"/>
      <c r="G32" s="20"/>
      <c r="H32" s="20"/>
      <c r="I32" s="20"/>
      <c r="J32" s="20"/>
      <c r="K32" s="38"/>
      <c r="L32" s="39" t="str">
        <f>Pivots!B111</f>
        <v>% of calls:100%</v>
      </c>
      <c r="M32" s="41"/>
      <c r="N32" s="39"/>
      <c r="O32" s="35" t="str">
        <v>C0001</v>
      </c>
      <c r="P32" s="36">
        <v>1655</v>
      </c>
      <c r="Q32" s="36">
        <v>805</v>
      </c>
      <c r="R32" s="36">
        <v>2263</v>
      </c>
      <c r="S32" s="36">
        <v>987</v>
      </c>
      <c r="T32" s="36">
        <v>1075</v>
      </c>
      <c r="U32" s="37">
        <v>6785</v>
      </c>
      <c r="V32" s="20"/>
      <c r="W32" s="20"/>
      <c r="X32" s="20"/>
    </row>
    <row r="33" spans="1:24" ht="15">
      <c r="A33" s="20"/>
      <c r="B33" s="20"/>
      <c r="C33" s="20"/>
      <c r="D33" s="20"/>
      <c r="E33" s="20"/>
      <c r="F33" s="20"/>
      <c r="G33" s="20"/>
      <c r="H33" s="20"/>
      <c r="I33" s="20"/>
      <c r="J33" s="20"/>
      <c r="K33" s="38"/>
      <c r="L33" s="39" t="str">
        <f>Pivots!B112</f>
        <v/>
      </c>
      <c r="M33" s="41"/>
      <c r="N33" s="39"/>
      <c r="O33" s="35" t="str">
        <v>C0005</v>
      </c>
      <c r="P33" s="36">
        <v>1104</v>
      </c>
      <c r="Q33" s="36">
        <v>2280</v>
      </c>
      <c r="R33" s="36">
        <v>1445</v>
      </c>
      <c r="S33" s="36">
        <v>1722</v>
      </c>
      <c r="T33" s="36">
        <v>1196</v>
      </c>
      <c r="U33" s="37">
        <v>7747</v>
      </c>
      <c r="V33" s="20"/>
      <c r="W33" s="20"/>
      <c r="X33" s="20"/>
    </row>
    <row r="34" spans="1:24" ht="15">
      <c r="A34" s="20"/>
      <c r="B34" s="20"/>
      <c r="C34" s="20"/>
      <c r="D34" s="20"/>
      <c r="E34" s="20"/>
      <c r="F34" s="20"/>
      <c r="G34" s="20"/>
      <c r="H34" s="20"/>
      <c r="I34" s="20"/>
      <c r="J34" s="20"/>
      <c r="K34" s="38"/>
      <c r="L34" s="45" t="str">
        <f>Pivots!B113</f>
        <v/>
      </c>
      <c r="M34" s="45"/>
      <c r="N34" s="45"/>
      <c r="O34" s="35" t="str">
        <v>C0006</v>
      </c>
      <c r="P34" s="36">
        <v>372</v>
      </c>
      <c r="Q34" s="36">
        <v>1818</v>
      </c>
      <c r="R34" s="36">
        <v>1346</v>
      </c>
      <c r="S34" s="36">
        <v>1156</v>
      </c>
      <c r="T34" s="36">
        <v>1484</v>
      </c>
      <c r="U34" s="37">
        <v>6176</v>
      </c>
      <c r="V34" s="20"/>
      <c r="W34" s="20"/>
      <c r="X34" s="20"/>
    </row>
    <row r="35" spans="1:24" ht="15">
      <c r="A35" s="20"/>
      <c r="B35" s="20"/>
      <c r="C35" s="20"/>
      <c r="D35" s="20"/>
      <c r="E35" s="20"/>
      <c r="F35" s="20"/>
      <c r="G35" s="20"/>
      <c r="H35" s="20"/>
      <c r="I35" s="20"/>
      <c r="J35" s="20"/>
      <c r="K35" s="20"/>
      <c r="L35" s="20"/>
      <c r="M35" s="40"/>
      <c r="N35" s="20"/>
      <c r="O35" s="35" t="str">
        <v>C0009</v>
      </c>
      <c r="P35" s="36">
        <v>1415</v>
      </c>
      <c r="Q35" s="36">
        <v>1271</v>
      </c>
      <c r="R35" s="36">
        <v>1214</v>
      </c>
      <c r="S35" s="36">
        <v>1135</v>
      </c>
      <c r="T35" s="36">
        <v>1566</v>
      </c>
      <c r="U35" s="37">
        <v>6601</v>
      </c>
      <c r="V35" s="20"/>
      <c r="W35" s="20"/>
      <c r="X35" s="20"/>
    </row>
    <row r="36" spans="1:24" ht="15">
      <c r="A36" s="20"/>
      <c r="B36" s="20"/>
      <c r="C36" s="20"/>
      <c r="D36" s="20"/>
      <c r="E36" s="20"/>
      <c r="F36" s="20"/>
      <c r="G36" s="20"/>
      <c r="H36" s="20"/>
      <c r="I36" s="20"/>
      <c r="J36" s="20"/>
      <c r="K36" s="20"/>
      <c r="L36" s="20"/>
      <c r="M36" s="40"/>
      <c r="N36" s="20"/>
      <c r="O36" s="35" t="str">
        <v>C0014</v>
      </c>
      <c r="P36" s="36">
        <v>1362</v>
      </c>
      <c r="Q36" s="36">
        <v>1363</v>
      </c>
      <c r="R36" s="36">
        <v>1152</v>
      </c>
      <c r="S36" s="36">
        <v>777</v>
      </c>
      <c r="T36" s="36">
        <v>750</v>
      </c>
      <c r="U36" s="37">
        <v>5404</v>
      </c>
      <c r="V36" s="20"/>
      <c r="W36" s="20"/>
      <c r="X36" s="20"/>
    </row>
    <row r="37" spans="1:24">
      <c r="A37" s="20"/>
      <c r="B37" s="20"/>
      <c r="C37" s="20"/>
      <c r="D37" s="20"/>
      <c r="E37" s="20"/>
      <c r="F37" s="20"/>
      <c r="G37" s="20"/>
      <c r="H37" s="20"/>
      <c r="I37" s="20"/>
      <c r="J37" s="20"/>
      <c r="K37" s="20"/>
      <c r="L37" s="20"/>
      <c r="M37" s="40"/>
      <c r="N37" s="20"/>
      <c r="O37" s="20"/>
      <c r="P37" s="20"/>
      <c r="Q37" s="20"/>
      <c r="R37" s="20"/>
      <c r="S37" s="20"/>
      <c r="T37" s="20"/>
      <c r="U37" s="20"/>
      <c r="V37" s="20"/>
      <c r="W37" s="20"/>
      <c r="X37" s="20"/>
    </row>
    <row r="38" spans="1:24">
      <c r="A38" s="20"/>
      <c r="B38" s="20"/>
      <c r="C38" s="20"/>
      <c r="D38" s="20"/>
      <c r="E38" s="20"/>
      <c r="F38" s="20"/>
      <c r="G38" s="20"/>
      <c r="H38" s="20"/>
      <c r="I38" s="20"/>
      <c r="J38" s="20"/>
      <c r="K38" s="20"/>
      <c r="L38" s="20"/>
      <c r="M38" s="40"/>
      <c r="N38" s="20"/>
      <c r="O38" s="20"/>
      <c r="P38" s="20"/>
      <c r="Q38" s="20"/>
      <c r="R38" s="20"/>
      <c r="S38" s="20"/>
      <c r="T38" s="20"/>
      <c r="U38" s="20"/>
      <c r="V38" s="20"/>
      <c r="W38" s="20"/>
      <c r="X38" s="20"/>
    </row>
    <row r="39" spans="1:24">
      <c r="A39" s="20"/>
      <c r="B39" s="20"/>
      <c r="C39" s="20"/>
      <c r="D39" s="20"/>
      <c r="E39" s="20"/>
      <c r="F39" s="20"/>
      <c r="G39" s="20"/>
      <c r="H39" s="20"/>
      <c r="I39" s="20"/>
      <c r="J39" s="20"/>
      <c r="K39" s="20"/>
      <c r="L39" s="20"/>
      <c r="M39" s="40"/>
      <c r="N39" s="20"/>
      <c r="O39" s="20"/>
      <c r="P39" s="20"/>
      <c r="Q39" s="20"/>
      <c r="R39" s="20"/>
      <c r="S39" s="20"/>
      <c r="T39" s="20"/>
      <c r="U39" s="20"/>
      <c r="V39" s="20"/>
      <c r="W39" s="20"/>
      <c r="X39" s="20"/>
    </row>
    <row r="40" spans="1:24">
      <c r="A40" s="20"/>
      <c r="B40" s="20"/>
      <c r="C40" s="20"/>
      <c r="D40" s="20"/>
      <c r="E40" s="20"/>
      <c r="F40" s="20"/>
      <c r="G40" s="20"/>
      <c r="H40" s="20"/>
      <c r="I40" s="20"/>
      <c r="J40" s="20"/>
      <c r="K40" s="20"/>
      <c r="L40" s="20"/>
      <c r="M40" s="40"/>
      <c r="N40" s="20"/>
      <c r="O40" s="20"/>
      <c r="P40" s="20"/>
      <c r="Q40" s="20"/>
      <c r="R40" s="20"/>
      <c r="S40" s="20"/>
      <c r="T40" s="20"/>
      <c r="U40" s="20"/>
      <c r="V40" s="20"/>
      <c r="W40" s="20"/>
      <c r="X40" s="20"/>
    </row>
    <row r="41" spans="1:24">
      <c r="A41" s="20"/>
      <c r="B41" s="20"/>
      <c r="C41" s="20"/>
      <c r="D41" s="20"/>
      <c r="E41" s="20"/>
      <c r="F41" s="20"/>
      <c r="G41" s="20"/>
      <c r="H41" s="20"/>
      <c r="I41" s="20"/>
      <c r="J41" s="20"/>
      <c r="K41" s="20"/>
      <c r="L41" s="20"/>
      <c r="M41" s="40"/>
      <c r="N41" s="20"/>
      <c r="O41" s="20"/>
      <c r="P41" s="20"/>
      <c r="Q41" s="20"/>
      <c r="R41" s="20"/>
      <c r="S41" s="20"/>
      <c r="T41" s="20"/>
      <c r="U41" s="20"/>
      <c r="V41" s="20"/>
      <c r="W41" s="20"/>
      <c r="X41" s="20"/>
    </row>
    <row r="42" spans="1:24">
      <c r="A42" s="20"/>
      <c r="B42" s="20"/>
      <c r="C42" s="20"/>
      <c r="D42" s="20"/>
      <c r="E42" s="20"/>
      <c r="F42" s="20"/>
      <c r="G42" s="20"/>
      <c r="H42" s="20"/>
      <c r="I42" s="20"/>
      <c r="J42" s="20"/>
      <c r="K42" s="20"/>
      <c r="L42" s="20"/>
      <c r="M42" s="40"/>
      <c r="N42" s="20"/>
      <c r="O42" s="20"/>
      <c r="P42" s="20"/>
      <c r="Q42" s="20"/>
      <c r="R42" s="20"/>
      <c r="S42" s="20"/>
      <c r="T42" s="20"/>
      <c r="U42" s="20"/>
      <c r="V42" s="20"/>
      <c r="W42" s="20"/>
      <c r="X42" s="20"/>
    </row>
  </sheetData>
  <mergeCells count="4">
    <mergeCell ref="A1:X1"/>
    <mergeCell ref="L27:N27"/>
    <mergeCell ref="L34:N34"/>
    <mergeCell ref="L28:M31"/>
  </mergeCells>
  <conditionalFormatting sqref="P20:T36">
    <cfRule type="dataBar" priority="4">
      <dataBar>
        <cfvo type="num" val="0"/>
        <cfvo type="formula" val="MAX($P$19:$T$36)*2"/>
        <color theme="9" tint="-0.249977111117893"/>
      </dataBar>
      <extLst>
        <ext xmlns:x14="http://schemas.microsoft.com/office/spreadsheetml/2009/9/main" uri="{B025F937-C7B1-47D3-B67F-A62EFF666E3E}">
          <x14:id>{0E63CE7D-2A88-4E57-8BB2-B2FF763F59B7}</x14:id>
        </ext>
      </extLst>
    </cfRule>
  </conditionalFormatting>
  <conditionalFormatting sqref="O29">
    <cfRule type="dataBar" priority="2">
      <dataBar>
        <cfvo type="num" val="0"/>
        <cfvo type="formula" val="MAX($P$19:$T$36)*2"/>
        <color theme="1" tint="0.34998626667073579"/>
      </dataBar>
      <extLst>
        <ext xmlns:x14="http://schemas.microsoft.com/office/spreadsheetml/2009/9/main" uri="{B025F937-C7B1-47D3-B67F-A62EFF666E3E}">
          <x14:id>{DF29BFD9-7E4E-4D75-B97A-CA01A62FF9DE}</x14:id>
        </ext>
      </extLst>
    </cfRule>
  </conditionalFormatting>
  <pageMargins left="0.7" right="0.7" top="0.75" bottom="0.75" header="0.3" footer="0.3"/>
  <pageSetup scale="43" orientation="portrait" r:id="rId1"/>
  <colBreaks count="1" manualBreakCount="1">
    <brk id="22" max="1048575" man="1"/>
  </colBreaks>
  <drawing r:id="rId2"/>
  <extLst>
    <ext xmlns:x14="http://schemas.microsoft.com/office/spreadsheetml/2009/9/main" uri="{78C0D931-6437-407d-A8EE-F0AAD7539E65}">
      <x14:conditionalFormattings>
        <x14:conditionalFormatting xmlns:xm="http://schemas.microsoft.com/office/excel/2006/main">
          <x14:cfRule type="dataBar" id="{0E63CE7D-2A88-4E57-8BB2-B2FF763F59B7}">
            <x14:dataBar minLength="0" maxLength="100" gradient="0">
              <x14:cfvo type="num">
                <xm:f>0</xm:f>
              </x14:cfvo>
              <x14:cfvo type="formula">
                <xm:f>MAX($P$19:$T$36)*2</xm:f>
              </x14:cfvo>
              <x14:negativeFillColor rgb="FFFF0000"/>
              <x14:axisColor rgb="FF000000"/>
            </x14:dataBar>
          </x14:cfRule>
          <xm:sqref>P20:T36</xm:sqref>
        </x14:conditionalFormatting>
        <x14:conditionalFormatting xmlns:xm="http://schemas.microsoft.com/office/excel/2006/main">
          <x14:cfRule type="dataBar" id="{DF29BFD9-7E4E-4D75-B97A-CA01A62FF9DE}">
            <x14:dataBar minLength="0" maxLength="100" gradient="0">
              <x14:cfvo type="num">
                <xm:f>0</xm:f>
              </x14:cfvo>
              <x14:cfvo type="formula">
                <xm:f>MAX($P$19:$T$36)*2</xm:f>
              </x14:cfvo>
              <x14:negativeFillColor rgb="FFFF0000"/>
              <x14:axisColor rgb="FF000000"/>
            </x14:dataBar>
          </x14:cfRule>
          <xm:sqref>O29</xm:sqref>
        </x14:conditionalFormatting>
        <x14:conditionalFormatting xmlns:xm="http://schemas.microsoft.com/office/excel/2006/main">
          <x14:cfRule type="expression" priority="5" id="{3E930A2C-9C58-40E6-A327-E7C954CADE37}">
            <xm:f>P$18=Pivots!$G$45</xm:f>
            <x14:dxf>
              <fill>
                <patternFill>
                  <bgColor theme="0" tint="-0.24994659260841701"/>
                </patternFill>
              </fill>
              <border>
                <left style="thin">
                  <color auto="1"/>
                </left>
                <right style="thin">
                  <color auto="1"/>
                </right>
                <vertical/>
                <horizontal/>
              </border>
            </x14:dxf>
          </x14:cfRule>
          <xm:sqref>P18:T36</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BD9609-CC10-465A-83A9-DAF8785813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Pivots</vt:lpstr>
      <vt:lpstr>Call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SAHIL BABAR</cp:lastModifiedBy>
  <cp:lastPrinted>2026-01-14T19:27:29Z</cp:lastPrinted>
  <dcterms:created xsi:type="dcterms:W3CDTF">2021-03-14T20:21:32Z</dcterms:created>
  <dcterms:modified xsi:type="dcterms:W3CDTF">2026-01-15T03:35:22Z</dcterms:modified>
</cp:coreProperties>
</file>